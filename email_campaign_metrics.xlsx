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s_Detalhado" sheetId="1" r:id="rId5"/>
    <sheet state="visible" name="Resumo_Automatico" sheetId="2" r:id="rId6"/>
  </sheets>
  <definedNames/>
  <calcPr/>
</workbook>
</file>

<file path=xl/sharedStrings.xml><?xml version="1.0" encoding="utf-8"?>
<sst xmlns="http://schemas.openxmlformats.org/spreadsheetml/2006/main" count="321" uniqueCount="132">
  <si>
    <t>campanha_id</t>
  </si>
  <si>
    <t>campanha_nome</t>
  </si>
  <si>
    <t>data_envio</t>
  </si>
  <si>
    <t>hora_envio</t>
  </si>
  <si>
    <t>leads_enviados</t>
  </si>
  <si>
    <t>leads_entregues</t>
  </si>
  <si>
    <t>aberturas</t>
  </si>
  <si>
    <t>cliques</t>
  </si>
  <si>
    <t>conversoes</t>
  </si>
  <si>
    <t>segmento</t>
  </si>
  <si>
    <t>envios_total</t>
  </si>
  <si>
    <t>entregues_total</t>
  </si>
  <si>
    <t>aberturas_total</t>
  </si>
  <si>
    <t>cliques_total</t>
  </si>
  <si>
    <t>conversoes_total</t>
  </si>
  <si>
    <t>taxa_entrega</t>
  </si>
  <si>
    <t>taxa_abertura</t>
  </si>
  <si>
    <t>taxa_clique</t>
  </si>
  <si>
    <t>taxa_conversao</t>
  </si>
  <si>
    <t>periodo_inicio</t>
  </si>
  <si>
    <t>periodo_fim</t>
  </si>
  <si>
    <t>janela_dias</t>
  </si>
  <si>
    <t>C001</t>
  </si>
  <si>
    <t>PROMO TL02</t>
  </si>
  <si>
    <t>total</t>
  </si>
  <si>
    <t>C002</t>
  </si>
  <si>
    <t>PROMO EXC02</t>
  </si>
  <si>
    <t>C003</t>
  </si>
  <si>
    <t>C004</t>
  </si>
  <si>
    <t>Relatorio Diario</t>
  </si>
  <si>
    <t>C005</t>
  </si>
  <si>
    <t>PROMO MAB09</t>
  </si>
  <si>
    <t>C006</t>
  </si>
  <si>
    <t>C007</t>
  </si>
  <si>
    <t>C008</t>
  </si>
  <si>
    <t>Relatorio Semanal</t>
  </si>
  <si>
    <t>C009</t>
  </si>
  <si>
    <t>C010</t>
  </si>
  <si>
    <t>C011</t>
  </si>
  <si>
    <t>Investe+</t>
  </si>
  <si>
    <t>C012</t>
  </si>
  <si>
    <t>PROMO HCT01</t>
  </si>
  <si>
    <t>C013</t>
  </si>
  <si>
    <t>C014</t>
  </si>
  <si>
    <t>C015</t>
  </si>
  <si>
    <t>C016</t>
  </si>
  <si>
    <t>C017</t>
  </si>
  <si>
    <t>C018</t>
  </si>
  <si>
    <t>C019</t>
  </si>
  <si>
    <t>C020</t>
  </si>
  <si>
    <t>PROMO MMB10</t>
  </si>
  <si>
    <t>C021</t>
  </si>
  <si>
    <t>C022</t>
  </si>
  <si>
    <t>C023</t>
  </si>
  <si>
    <t>Comunicado Especial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</si>
  <si>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</si>
  <si>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</si>
  <si>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</si>
  <si>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</si>
  <si>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</si>
  <si>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</si>
  <si>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</si>
  <si>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</si>
  <si>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</si>
  <si>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</si>
  <si>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</si>
  <si>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</si>
  <si>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</si>
  <si>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</si>
  <si>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</si>
  <si>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</si>
  <si>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</si>
  <si>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</si>
  <si>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</si>
  <si>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</si>
  <si>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</si>
  <si>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</si>
  <si>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</si>
  <si>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</si>
  <si>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</si>
  <si>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</si>
  <si>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</si>
  <si>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</si>
  <si>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</si>
  <si>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</si>
  <si>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</si>
  <si>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</si>
  <si>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</si>
  <si>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</si>
  <si>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</si>
  <si>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</si>
  <si>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</si>
  <si>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</si>
  <si>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</si>
  <si>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</si>
  <si>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</si>
  <si>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</si>
  <si>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</si>
  <si>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</si>
  <si>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</si>
  <si>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</si>
  <si>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PROMO RF102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</si>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</sst>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88"/>
    <col customWidth="1" min="6" max="6" width="1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tr">
        <f t="shared" ref="A2:A100" si="1">CONCAT("C",TEXT(ROW()-1,"000"))
</f>
        <v>C001</v>
      </c>
      <c r="B2" s="3" t="str">
        <f t="shared" ref="B2:B100" si="2">INDEX({"Investe+";"Relatorio Diario";"Relatorio Semanal";"Comunicado Especial";"PROMO MAB09";"PROMO EXC02";"PROMO RF102";"PROMO TL02";"PROMO MMB10";"PROMO HCT01"},RANDBETWEEN(1,10))</f>
        <v>Comunicado Especial</v>
      </c>
      <c r="C2" s="4">
        <f t="shared" ref="C2:C100" si="3">DATE(2026,RANDBETWEEN(1,3),RANDBETWEEN(1,28))</f>
        <v>46071</v>
      </c>
      <c r="D2" s="5">
        <f t="shared" ref="D2:D100" si="4">TIME(RANDBETWEEN(8,22),CHOOSE(RANDBETWEEN(1,3),0,15,30),0)</f>
        <v>0.6875</v>
      </c>
      <c r="E2" s="3">
        <f t="shared" ref="E2:E100" si="5">RANDBETWEEN(5000,170000)
</f>
        <v>161919</v>
      </c>
      <c r="F2" s="3">
        <f t="shared" ref="F2:F100" si="6">INT(E2*RANDBETWEEN(90,99)/100)</f>
        <v>145727</v>
      </c>
      <c r="G2" s="3">
        <f t="shared" ref="G2:G100" si="7">INT(F2*RANDBETWEEN(10,40)/100)</f>
        <v>46632</v>
      </c>
      <c r="H2" s="3">
        <f t="shared" ref="H2:H100" si="8">INT(F2*RANDBETWEEN(2,15)/100)</f>
        <v>14572</v>
      </c>
      <c r="I2" s="3">
        <f t="shared" ref="I2:I100" si="9">INT(F2*RANDBETWEEN(1,5)/100)</f>
        <v>4371</v>
      </c>
      <c r="J2" s="3" t="str">
        <f t="shared" ref="J2:J100" si="10">INDEX({"Investidor iniciante";"Perfil moderado";"Alta renda";"Trader"},RANDBETWEEN(1,4))</f>
        <v>Alta renda</v>
      </c>
    </row>
    <row r="3">
      <c r="A3" s="3" t="str">
        <f t="shared" si="1"/>
        <v>C002</v>
      </c>
      <c r="B3" s="3" t="str">
        <f t="shared" si="2"/>
        <v>PROMO EXC02</v>
      </c>
      <c r="C3" s="4">
        <f t="shared" si="3"/>
        <v>46048</v>
      </c>
      <c r="D3" s="5">
        <f t="shared" si="4"/>
        <v>0.8958333333</v>
      </c>
      <c r="E3" s="3">
        <f t="shared" si="5"/>
        <v>55840</v>
      </c>
      <c r="F3" s="3">
        <f t="shared" si="6"/>
        <v>53606</v>
      </c>
      <c r="G3" s="3">
        <f t="shared" si="7"/>
        <v>12329</v>
      </c>
      <c r="H3" s="3">
        <f t="shared" si="8"/>
        <v>1608</v>
      </c>
      <c r="I3" s="3">
        <f t="shared" si="9"/>
        <v>2680</v>
      </c>
      <c r="J3" s="3" t="str">
        <f t="shared" si="10"/>
        <v>Alta renda</v>
      </c>
    </row>
    <row r="4">
      <c r="A4" s="3" t="str">
        <f t="shared" si="1"/>
        <v>C003</v>
      </c>
      <c r="B4" s="3" t="str">
        <f t="shared" si="2"/>
        <v>PROMO MMB10</v>
      </c>
      <c r="C4" s="4">
        <f t="shared" si="3"/>
        <v>46098</v>
      </c>
      <c r="D4" s="5">
        <f t="shared" si="4"/>
        <v>0.46875</v>
      </c>
      <c r="E4" s="3">
        <f t="shared" si="5"/>
        <v>90804</v>
      </c>
      <c r="F4" s="3">
        <f t="shared" si="6"/>
        <v>84447</v>
      </c>
      <c r="G4" s="3">
        <f t="shared" si="7"/>
        <v>13511</v>
      </c>
      <c r="H4" s="3">
        <f t="shared" si="8"/>
        <v>9289</v>
      </c>
      <c r="I4" s="3">
        <f t="shared" si="9"/>
        <v>1688</v>
      </c>
      <c r="J4" s="3" t="str">
        <f t="shared" si="10"/>
        <v>Investidor iniciante</v>
      </c>
    </row>
    <row r="5">
      <c r="A5" s="3" t="str">
        <f t="shared" si="1"/>
        <v>C004</v>
      </c>
      <c r="B5" s="3" t="str">
        <f t="shared" si="2"/>
        <v>PROMO MAB09</v>
      </c>
      <c r="C5" s="4">
        <f t="shared" si="3"/>
        <v>46057</v>
      </c>
      <c r="D5" s="5">
        <f t="shared" si="4"/>
        <v>0.7083333333</v>
      </c>
      <c r="E5" s="3">
        <f t="shared" si="5"/>
        <v>81965</v>
      </c>
      <c r="F5" s="3">
        <f t="shared" si="6"/>
        <v>74588</v>
      </c>
      <c r="G5" s="3">
        <f t="shared" si="7"/>
        <v>9696</v>
      </c>
      <c r="H5" s="3">
        <f t="shared" si="8"/>
        <v>7458</v>
      </c>
      <c r="I5" s="3">
        <f t="shared" si="9"/>
        <v>3729</v>
      </c>
      <c r="J5" s="3" t="str">
        <f t="shared" si="10"/>
        <v>Investidor iniciante</v>
      </c>
    </row>
    <row r="6">
      <c r="A6" s="3" t="str">
        <f t="shared" si="1"/>
        <v>C005</v>
      </c>
      <c r="B6" s="3" t="str">
        <f t="shared" si="2"/>
        <v>PROMO MMB10</v>
      </c>
      <c r="C6" s="4">
        <f t="shared" si="3"/>
        <v>46060</v>
      </c>
      <c r="D6" s="5">
        <f t="shared" si="4"/>
        <v>0.4375</v>
      </c>
      <c r="E6" s="3">
        <f t="shared" si="5"/>
        <v>76563</v>
      </c>
      <c r="F6" s="3">
        <f t="shared" si="6"/>
        <v>70437</v>
      </c>
      <c r="G6" s="3">
        <f t="shared" si="7"/>
        <v>21835</v>
      </c>
      <c r="H6" s="3">
        <f t="shared" si="8"/>
        <v>10565</v>
      </c>
      <c r="I6" s="3">
        <f t="shared" si="9"/>
        <v>704</v>
      </c>
      <c r="J6" s="3" t="str">
        <f t="shared" si="10"/>
        <v>Trader</v>
      </c>
    </row>
    <row r="7">
      <c r="A7" s="3" t="str">
        <f t="shared" si="1"/>
        <v>C006</v>
      </c>
      <c r="B7" s="3" t="str">
        <f t="shared" si="2"/>
        <v>PROMO EXC02</v>
      </c>
      <c r="C7" s="4">
        <f t="shared" si="3"/>
        <v>46105</v>
      </c>
      <c r="D7" s="5">
        <f t="shared" si="4"/>
        <v>0.5520833333</v>
      </c>
      <c r="E7" s="3">
        <f t="shared" si="5"/>
        <v>91819</v>
      </c>
      <c r="F7" s="3">
        <f t="shared" si="6"/>
        <v>82637</v>
      </c>
      <c r="G7" s="3">
        <f t="shared" si="7"/>
        <v>19006</v>
      </c>
      <c r="H7" s="3">
        <f t="shared" si="8"/>
        <v>4958</v>
      </c>
      <c r="I7" s="3">
        <f t="shared" si="9"/>
        <v>1652</v>
      </c>
      <c r="J7" s="3" t="str">
        <f t="shared" si="10"/>
        <v>Trader</v>
      </c>
    </row>
    <row r="8">
      <c r="A8" s="3" t="str">
        <f t="shared" si="1"/>
        <v>C007</v>
      </c>
      <c r="B8" s="3" t="str">
        <f t="shared" si="2"/>
        <v>Relatorio Semanal</v>
      </c>
      <c r="C8" s="4">
        <f t="shared" si="3"/>
        <v>46091</v>
      </c>
      <c r="D8" s="5">
        <f t="shared" si="4"/>
        <v>0.84375</v>
      </c>
      <c r="E8" s="3">
        <f t="shared" si="5"/>
        <v>163414</v>
      </c>
      <c r="F8" s="3">
        <f t="shared" si="6"/>
        <v>148706</v>
      </c>
      <c r="G8" s="3">
        <f t="shared" si="7"/>
        <v>49072</v>
      </c>
      <c r="H8" s="3">
        <f t="shared" si="8"/>
        <v>22305</v>
      </c>
      <c r="I8" s="3">
        <f t="shared" si="9"/>
        <v>4461</v>
      </c>
      <c r="J8" s="3" t="str">
        <f t="shared" si="10"/>
        <v>Investidor iniciante</v>
      </c>
    </row>
    <row r="9">
      <c r="A9" s="3" t="str">
        <f t="shared" si="1"/>
        <v>C008</v>
      </c>
      <c r="B9" s="3" t="str">
        <f t="shared" si="2"/>
        <v>Relatorio Diario</v>
      </c>
      <c r="C9" s="4">
        <f t="shared" si="3"/>
        <v>46060</v>
      </c>
      <c r="D9" s="5">
        <f t="shared" si="4"/>
        <v>0.6770833333</v>
      </c>
      <c r="E9" s="3">
        <f t="shared" si="5"/>
        <v>31121</v>
      </c>
      <c r="F9" s="3">
        <f t="shared" si="6"/>
        <v>30809</v>
      </c>
      <c r="G9" s="3">
        <f t="shared" si="7"/>
        <v>6161</v>
      </c>
      <c r="H9" s="3">
        <f t="shared" si="8"/>
        <v>3388</v>
      </c>
      <c r="I9" s="3">
        <f t="shared" si="9"/>
        <v>308</v>
      </c>
      <c r="J9" s="3" t="str">
        <f t="shared" si="10"/>
        <v>Trader</v>
      </c>
    </row>
    <row r="10">
      <c r="A10" s="3" t="str">
        <f t="shared" si="1"/>
        <v>C009</v>
      </c>
      <c r="B10" s="3" t="str">
        <f t="shared" si="2"/>
        <v>PROMO TL02</v>
      </c>
      <c r="C10" s="4">
        <f t="shared" si="3"/>
        <v>46071</v>
      </c>
      <c r="D10" s="5">
        <f t="shared" si="4"/>
        <v>0.7083333333</v>
      </c>
      <c r="E10" s="3">
        <f t="shared" si="5"/>
        <v>12153</v>
      </c>
      <c r="F10" s="3">
        <f t="shared" si="6"/>
        <v>11423</v>
      </c>
      <c r="G10" s="3">
        <f t="shared" si="7"/>
        <v>3883</v>
      </c>
      <c r="H10" s="3">
        <f t="shared" si="8"/>
        <v>1484</v>
      </c>
      <c r="I10" s="3">
        <f t="shared" si="9"/>
        <v>456</v>
      </c>
      <c r="J10" s="3" t="str">
        <f t="shared" si="10"/>
        <v>Perfil moderado</v>
      </c>
    </row>
    <row r="11">
      <c r="A11" s="3" t="str">
        <f t="shared" si="1"/>
        <v>C010</v>
      </c>
      <c r="B11" s="3" t="str">
        <f t="shared" si="2"/>
        <v>Investe+</v>
      </c>
      <c r="C11" s="4">
        <f t="shared" si="3"/>
        <v>46047</v>
      </c>
      <c r="D11" s="5">
        <f t="shared" si="4"/>
        <v>0.8125</v>
      </c>
      <c r="E11" s="3">
        <f t="shared" si="5"/>
        <v>102926</v>
      </c>
      <c r="F11" s="3">
        <f t="shared" si="6"/>
        <v>93662</v>
      </c>
      <c r="G11" s="3">
        <f t="shared" si="7"/>
        <v>30908</v>
      </c>
      <c r="H11" s="3">
        <f t="shared" si="8"/>
        <v>1873</v>
      </c>
      <c r="I11" s="3">
        <f t="shared" si="9"/>
        <v>936</v>
      </c>
      <c r="J11" s="3" t="str">
        <f t="shared" si="10"/>
        <v>Alta renda</v>
      </c>
    </row>
    <row r="12">
      <c r="A12" s="3" t="str">
        <f t="shared" si="1"/>
        <v>C011</v>
      </c>
      <c r="B12" s="3" t="str">
        <f t="shared" si="2"/>
        <v>PROMO RF102</v>
      </c>
      <c r="C12" s="4">
        <f t="shared" si="3"/>
        <v>46099</v>
      </c>
      <c r="D12" s="5">
        <f t="shared" si="4"/>
        <v>0.75</v>
      </c>
      <c r="E12" s="3">
        <f t="shared" si="5"/>
        <v>115294</v>
      </c>
      <c r="F12" s="3">
        <f t="shared" si="6"/>
        <v>103764</v>
      </c>
      <c r="G12" s="3">
        <f t="shared" si="7"/>
        <v>36317</v>
      </c>
      <c r="H12" s="3">
        <f t="shared" si="8"/>
        <v>9338</v>
      </c>
      <c r="I12" s="3">
        <f t="shared" si="9"/>
        <v>4150</v>
      </c>
      <c r="J12" s="3" t="str">
        <f t="shared" si="10"/>
        <v>Investidor iniciante</v>
      </c>
    </row>
    <row r="13">
      <c r="A13" s="3" t="str">
        <f t="shared" si="1"/>
        <v>C012</v>
      </c>
      <c r="B13" s="3" t="str">
        <f t="shared" si="2"/>
        <v>PROMO EXC02</v>
      </c>
      <c r="C13" s="4">
        <f t="shared" si="3"/>
        <v>46067</v>
      </c>
      <c r="D13" s="5">
        <f t="shared" si="4"/>
        <v>0.46875</v>
      </c>
      <c r="E13" s="3">
        <f t="shared" si="5"/>
        <v>85649</v>
      </c>
      <c r="F13" s="3">
        <f t="shared" si="6"/>
        <v>81366</v>
      </c>
      <c r="G13" s="3">
        <f t="shared" si="7"/>
        <v>24409</v>
      </c>
      <c r="H13" s="3">
        <f t="shared" si="8"/>
        <v>11391</v>
      </c>
      <c r="I13" s="3">
        <f t="shared" si="9"/>
        <v>2440</v>
      </c>
      <c r="J13" s="3" t="str">
        <f t="shared" si="10"/>
        <v>Trader</v>
      </c>
    </row>
    <row r="14">
      <c r="A14" s="3" t="str">
        <f t="shared" si="1"/>
        <v>C013</v>
      </c>
      <c r="B14" s="3" t="str">
        <f t="shared" si="2"/>
        <v>Investe+</v>
      </c>
      <c r="C14" s="4">
        <f t="shared" si="3"/>
        <v>46054</v>
      </c>
      <c r="D14" s="5">
        <f t="shared" si="4"/>
        <v>0.4375</v>
      </c>
      <c r="E14" s="3">
        <f t="shared" si="5"/>
        <v>56079</v>
      </c>
      <c r="F14" s="3">
        <f t="shared" si="6"/>
        <v>50471</v>
      </c>
      <c r="G14" s="3">
        <f t="shared" si="7"/>
        <v>10598</v>
      </c>
      <c r="H14" s="3">
        <f t="shared" si="8"/>
        <v>1514</v>
      </c>
      <c r="I14" s="3">
        <f t="shared" si="9"/>
        <v>1009</v>
      </c>
      <c r="J14" s="3" t="str">
        <f t="shared" si="10"/>
        <v>Perfil moderado</v>
      </c>
    </row>
    <row r="15">
      <c r="A15" s="3" t="str">
        <f t="shared" si="1"/>
        <v>C014</v>
      </c>
      <c r="B15" s="3" t="str">
        <f t="shared" si="2"/>
        <v>Relatorio Diario</v>
      </c>
      <c r="C15" s="4">
        <f t="shared" si="3"/>
        <v>46040</v>
      </c>
      <c r="D15" s="5">
        <f t="shared" si="4"/>
        <v>0.4270833333</v>
      </c>
      <c r="E15" s="3">
        <f t="shared" si="5"/>
        <v>99636</v>
      </c>
      <c r="F15" s="3">
        <f t="shared" si="6"/>
        <v>89672</v>
      </c>
      <c r="G15" s="3">
        <f t="shared" si="7"/>
        <v>34972</v>
      </c>
      <c r="H15" s="3">
        <f t="shared" si="8"/>
        <v>1793</v>
      </c>
      <c r="I15" s="3">
        <f t="shared" si="9"/>
        <v>3586</v>
      </c>
      <c r="J15" s="3" t="str">
        <f t="shared" si="10"/>
        <v>Investidor iniciante</v>
      </c>
    </row>
    <row r="16">
      <c r="A16" s="3" t="str">
        <f t="shared" si="1"/>
        <v>C015</v>
      </c>
      <c r="B16" s="3" t="str">
        <f t="shared" si="2"/>
        <v>Relatorio Semanal</v>
      </c>
      <c r="C16" s="4">
        <f t="shared" si="3"/>
        <v>46095</v>
      </c>
      <c r="D16" s="5">
        <f t="shared" si="4"/>
        <v>0.3541666667</v>
      </c>
      <c r="E16" s="3">
        <f t="shared" si="5"/>
        <v>151734</v>
      </c>
      <c r="F16" s="3">
        <f t="shared" si="6"/>
        <v>136560</v>
      </c>
      <c r="G16" s="3">
        <f t="shared" si="7"/>
        <v>45064</v>
      </c>
      <c r="H16" s="3">
        <f t="shared" si="8"/>
        <v>19118</v>
      </c>
      <c r="I16" s="3">
        <f t="shared" si="9"/>
        <v>5462</v>
      </c>
      <c r="J16" s="3" t="str">
        <f t="shared" si="10"/>
        <v>Perfil moderado</v>
      </c>
    </row>
    <row r="17">
      <c r="A17" s="3" t="str">
        <f t="shared" si="1"/>
        <v>C016</v>
      </c>
      <c r="B17" s="3" t="str">
        <f t="shared" si="2"/>
        <v>Comunicado Especial</v>
      </c>
      <c r="C17" s="4">
        <f t="shared" si="3"/>
        <v>46063</v>
      </c>
      <c r="D17" s="5">
        <f t="shared" si="4"/>
        <v>0.46875</v>
      </c>
      <c r="E17" s="3">
        <f t="shared" si="5"/>
        <v>103362</v>
      </c>
      <c r="F17" s="3">
        <f t="shared" si="6"/>
        <v>97160</v>
      </c>
      <c r="G17" s="3">
        <f t="shared" si="7"/>
        <v>9716</v>
      </c>
      <c r="H17" s="3">
        <f t="shared" si="8"/>
        <v>9716</v>
      </c>
      <c r="I17" s="3">
        <f t="shared" si="9"/>
        <v>971</v>
      </c>
      <c r="J17" s="3" t="str">
        <f t="shared" si="10"/>
        <v>Alta renda</v>
      </c>
    </row>
    <row r="18">
      <c r="A18" s="3" t="str">
        <f t="shared" si="1"/>
        <v>C017</v>
      </c>
      <c r="B18" s="3" t="str">
        <f t="shared" si="2"/>
        <v>PROMO MAB09</v>
      </c>
      <c r="C18" s="4">
        <f t="shared" si="3"/>
        <v>46105</v>
      </c>
      <c r="D18" s="5">
        <f t="shared" si="4"/>
        <v>0.3541666667</v>
      </c>
      <c r="E18" s="3">
        <f t="shared" si="5"/>
        <v>158279</v>
      </c>
      <c r="F18" s="3">
        <f t="shared" si="6"/>
        <v>156696</v>
      </c>
      <c r="G18" s="3">
        <f t="shared" si="7"/>
        <v>31339</v>
      </c>
      <c r="H18" s="3">
        <f t="shared" si="8"/>
        <v>9401</v>
      </c>
      <c r="I18" s="3">
        <f t="shared" si="9"/>
        <v>7834</v>
      </c>
      <c r="J18" s="3" t="str">
        <f t="shared" si="10"/>
        <v>Trader</v>
      </c>
    </row>
    <row r="19">
      <c r="A19" s="3" t="str">
        <f t="shared" si="1"/>
        <v>C018</v>
      </c>
      <c r="B19" s="3" t="str">
        <f t="shared" si="2"/>
        <v>PROMO EXC02</v>
      </c>
      <c r="C19" s="4">
        <f t="shared" si="3"/>
        <v>46079</v>
      </c>
      <c r="D19" s="5">
        <f t="shared" si="4"/>
        <v>0.8854166667</v>
      </c>
      <c r="E19" s="3">
        <f t="shared" si="5"/>
        <v>129694</v>
      </c>
      <c r="F19" s="3">
        <f t="shared" si="6"/>
        <v>118021</v>
      </c>
      <c r="G19" s="3">
        <f t="shared" si="7"/>
        <v>33045</v>
      </c>
      <c r="H19" s="3">
        <f t="shared" si="8"/>
        <v>12982</v>
      </c>
      <c r="I19" s="3">
        <f t="shared" si="9"/>
        <v>1180</v>
      </c>
      <c r="J19" s="3" t="str">
        <f t="shared" si="10"/>
        <v>Alta renda</v>
      </c>
    </row>
    <row r="20">
      <c r="A20" s="3" t="str">
        <f t="shared" si="1"/>
        <v>C019</v>
      </c>
      <c r="B20" s="3" t="str">
        <f t="shared" si="2"/>
        <v>Relatorio Semanal</v>
      </c>
      <c r="C20" s="4">
        <f t="shared" si="3"/>
        <v>46098</v>
      </c>
      <c r="D20" s="5">
        <f t="shared" si="4"/>
        <v>0.8854166667</v>
      </c>
      <c r="E20" s="3">
        <f t="shared" si="5"/>
        <v>34205</v>
      </c>
      <c r="F20" s="3">
        <f t="shared" si="6"/>
        <v>33520</v>
      </c>
      <c r="G20" s="3">
        <f t="shared" si="7"/>
        <v>3352</v>
      </c>
      <c r="H20" s="3">
        <f t="shared" si="8"/>
        <v>4357</v>
      </c>
      <c r="I20" s="3">
        <f t="shared" si="9"/>
        <v>335</v>
      </c>
      <c r="J20" s="3" t="str">
        <f t="shared" si="10"/>
        <v>Trader</v>
      </c>
    </row>
    <row r="21">
      <c r="A21" s="3" t="str">
        <f t="shared" si="1"/>
        <v>C020</v>
      </c>
      <c r="B21" s="3" t="str">
        <f t="shared" si="2"/>
        <v>Relatorio Diario</v>
      </c>
      <c r="C21" s="4">
        <f t="shared" si="3"/>
        <v>46106</v>
      </c>
      <c r="D21" s="5">
        <f t="shared" si="4"/>
        <v>0.4791666667</v>
      </c>
      <c r="E21" s="3">
        <f t="shared" si="5"/>
        <v>102650</v>
      </c>
      <c r="F21" s="3">
        <f t="shared" si="6"/>
        <v>100597</v>
      </c>
      <c r="G21" s="3">
        <f t="shared" si="7"/>
        <v>34202</v>
      </c>
      <c r="H21" s="3">
        <f t="shared" si="8"/>
        <v>5029</v>
      </c>
      <c r="I21" s="3">
        <f t="shared" si="9"/>
        <v>1005</v>
      </c>
      <c r="J21" s="3" t="str">
        <f t="shared" si="10"/>
        <v>Trader</v>
      </c>
    </row>
    <row r="22">
      <c r="A22" s="3" t="str">
        <f t="shared" si="1"/>
        <v>C021</v>
      </c>
      <c r="B22" s="3" t="str">
        <f t="shared" si="2"/>
        <v>Investe+</v>
      </c>
      <c r="C22" s="4">
        <f t="shared" si="3"/>
        <v>46098</v>
      </c>
      <c r="D22" s="5">
        <f t="shared" si="4"/>
        <v>0.7291666667</v>
      </c>
      <c r="E22" s="3">
        <f t="shared" si="5"/>
        <v>45280</v>
      </c>
      <c r="F22" s="3">
        <f t="shared" si="6"/>
        <v>43016</v>
      </c>
      <c r="G22" s="3">
        <f t="shared" si="7"/>
        <v>13765</v>
      </c>
      <c r="H22" s="3">
        <f t="shared" si="8"/>
        <v>1720</v>
      </c>
      <c r="I22" s="3">
        <f t="shared" si="9"/>
        <v>1720</v>
      </c>
      <c r="J22" s="3" t="str">
        <f t="shared" si="10"/>
        <v>Perfil moderado</v>
      </c>
    </row>
    <row r="23">
      <c r="A23" s="3" t="str">
        <f t="shared" si="1"/>
        <v>C022</v>
      </c>
      <c r="B23" s="3" t="str">
        <f t="shared" si="2"/>
        <v>PROMO EXC02</v>
      </c>
      <c r="C23" s="4">
        <f t="shared" si="3"/>
        <v>46062</v>
      </c>
      <c r="D23" s="5">
        <f t="shared" si="4"/>
        <v>0.3958333333</v>
      </c>
      <c r="E23" s="3">
        <f t="shared" si="5"/>
        <v>130385</v>
      </c>
      <c r="F23" s="3">
        <f t="shared" si="6"/>
        <v>121258</v>
      </c>
      <c r="G23" s="3">
        <f t="shared" si="7"/>
        <v>46078</v>
      </c>
      <c r="H23" s="3">
        <f t="shared" si="8"/>
        <v>9700</v>
      </c>
      <c r="I23" s="3">
        <f t="shared" si="9"/>
        <v>1212</v>
      </c>
      <c r="J23" s="3" t="str">
        <f t="shared" si="10"/>
        <v>Trader</v>
      </c>
    </row>
    <row r="24">
      <c r="A24" s="3" t="str">
        <f t="shared" si="1"/>
        <v>C023</v>
      </c>
      <c r="B24" s="3" t="str">
        <f t="shared" si="2"/>
        <v>PROMO HCT01</v>
      </c>
      <c r="C24" s="4">
        <f t="shared" si="3"/>
        <v>46100</v>
      </c>
      <c r="D24" s="5">
        <f t="shared" si="4"/>
        <v>0.6770833333</v>
      </c>
      <c r="E24" s="3">
        <f t="shared" si="5"/>
        <v>49272</v>
      </c>
      <c r="F24" s="3">
        <f t="shared" si="6"/>
        <v>44344</v>
      </c>
      <c r="G24" s="3">
        <f t="shared" si="7"/>
        <v>11529</v>
      </c>
      <c r="H24" s="3">
        <f t="shared" si="8"/>
        <v>4434</v>
      </c>
      <c r="I24" s="3">
        <f t="shared" si="9"/>
        <v>1773</v>
      </c>
      <c r="J24" s="3" t="str">
        <f t="shared" si="10"/>
        <v>Alta renda</v>
      </c>
    </row>
    <row r="25">
      <c r="A25" s="3" t="str">
        <f t="shared" si="1"/>
        <v>C024</v>
      </c>
      <c r="B25" s="3" t="str">
        <f t="shared" si="2"/>
        <v>PROMO MAB09</v>
      </c>
      <c r="C25" s="4">
        <f t="shared" si="3"/>
        <v>46080</v>
      </c>
      <c r="D25" s="5">
        <f t="shared" si="4"/>
        <v>0.5</v>
      </c>
      <c r="E25" s="3">
        <f t="shared" si="5"/>
        <v>45316</v>
      </c>
      <c r="F25" s="3">
        <f t="shared" si="6"/>
        <v>43050</v>
      </c>
      <c r="G25" s="3">
        <f t="shared" si="7"/>
        <v>12915</v>
      </c>
      <c r="H25" s="3">
        <f t="shared" si="8"/>
        <v>3444</v>
      </c>
      <c r="I25" s="3">
        <f t="shared" si="9"/>
        <v>1291</v>
      </c>
      <c r="J25" s="3" t="str">
        <f t="shared" si="10"/>
        <v>Trader</v>
      </c>
    </row>
    <row r="26">
      <c r="A26" s="3" t="str">
        <f t="shared" si="1"/>
        <v>C025</v>
      </c>
      <c r="B26" s="3" t="str">
        <f t="shared" si="2"/>
        <v>PROMO TL02</v>
      </c>
      <c r="C26" s="4">
        <f t="shared" si="3"/>
        <v>46064</v>
      </c>
      <c r="D26" s="5">
        <f t="shared" si="4"/>
        <v>0.875</v>
      </c>
      <c r="E26" s="3">
        <f t="shared" si="5"/>
        <v>99074</v>
      </c>
      <c r="F26" s="3">
        <f t="shared" si="6"/>
        <v>92138</v>
      </c>
      <c r="G26" s="3">
        <f t="shared" si="7"/>
        <v>23955</v>
      </c>
      <c r="H26" s="3">
        <f t="shared" si="8"/>
        <v>2764</v>
      </c>
      <c r="I26" s="3">
        <f t="shared" si="9"/>
        <v>4606</v>
      </c>
      <c r="J26" s="3" t="str">
        <f t="shared" si="10"/>
        <v>Investidor iniciante</v>
      </c>
    </row>
    <row r="27">
      <c r="A27" s="3" t="str">
        <f t="shared" si="1"/>
        <v>C026</v>
      </c>
      <c r="B27" s="3" t="str">
        <f t="shared" si="2"/>
        <v>PROMO MMB10</v>
      </c>
      <c r="C27" s="4">
        <f t="shared" si="3"/>
        <v>46094</v>
      </c>
      <c r="D27" s="5">
        <f t="shared" si="4"/>
        <v>0.46875</v>
      </c>
      <c r="E27" s="3">
        <f t="shared" si="5"/>
        <v>12902</v>
      </c>
      <c r="F27" s="3">
        <f t="shared" si="6"/>
        <v>12643</v>
      </c>
      <c r="G27" s="3">
        <f t="shared" si="7"/>
        <v>3034</v>
      </c>
      <c r="H27" s="3">
        <f t="shared" si="8"/>
        <v>632</v>
      </c>
      <c r="I27" s="3">
        <f t="shared" si="9"/>
        <v>126</v>
      </c>
      <c r="J27" s="3" t="str">
        <f t="shared" si="10"/>
        <v>Perfil moderado</v>
      </c>
    </row>
    <row r="28">
      <c r="A28" s="3" t="str">
        <f t="shared" si="1"/>
        <v>C027</v>
      </c>
      <c r="B28" s="3" t="str">
        <f t="shared" si="2"/>
        <v>PROMO TL02</v>
      </c>
      <c r="C28" s="4">
        <f t="shared" si="3"/>
        <v>46092</v>
      </c>
      <c r="D28" s="5">
        <f t="shared" si="4"/>
        <v>0.625</v>
      </c>
      <c r="E28" s="3">
        <f t="shared" si="5"/>
        <v>113961</v>
      </c>
      <c r="F28" s="3">
        <f t="shared" si="6"/>
        <v>110542</v>
      </c>
      <c r="G28" s="3">
        <f t="shared" si="7"/>
        <v>38689</v>
      </c>
      <c r="H28" s="3">
        <f t="shared" si="8"/>
        <v>15475</v>
      </c>
      <c r="I28" s="3">
        <f t="shared" si="9"/>
        <v>5527</v>
      </c>
      <c r="J28" s="3" t="str">
        <f t="shared" si="10"/>
        <v>Investidor iniciante</v>
      </c>
    </row>
    <row r="29">
      <c r="A29" s="3" t="str">
        <f t="shared" si="1"/>
        <v>C028</v>
      </c>
      <c r="B29" s="3" t="str">
        <f t="shared" si="2"/>
        <v>PROMO MAB09</v>
      </c>
      <c r="C29" s="4">
        <f t="shared" si="3"/>
        <v>46090</v>
      </c>
      <c r="D29" s="5">
        <f t="shared" si="4"/>
        <v>0.375</v>
      </c>
      <c r="E29" s="3">
        <f t="shared" si="5"/>
        <v>154302</v>
      </c>
      <c r="F29" s="3">
        <f t="shared" si="6"/>
        <v>146586</v>
      </c>
      <c r="G29" s="3">
        <f t="shared" si="7"/>
        <v>38112</v>
      </c>
      <c r="H29" s="3">
        <f t="shared" si="8"/>
        <v>14658</v>
      </c>
      <c r="I29" s="3">
        <f t="shared" si="9"/>
        <v>5863</v>
      </c>
      <c r="J29" s="3" t="str">
        <f t="shared" si="10"/>
        <v>Trader</v>
      </c>
    </row>
    <row r="30">
      <c r="A30" s="3" t="str">
        <f t="shared" si="1"/>
        <v>C029</v>
      </c>
      <c r="B30" s="3" t="str">
        <f t="shared" si="2"/>
        <v>Comunicado Especial</v>
      </c>
      <c r="C30" s="4">
        <f t="shared" si="3"/>
        <v>46064</v>
      </c>
      <c r="D30" s="5">
        <f t="shared" si="4"/>
        <v>0.3333333333</v>
      </c>
      <c r="E30" s="3">
        <f t="shared" si="5"/>
        <v>157880</v>
      </c>
      <c r="F30" s="3">
        <f t="shared" si="6"/>
        <v>143670</v>
      </c>
      <c r="G30" s="3">
        <f t="shared" si="7"/>
        <v>37354</v>
      </c>
      <c r="H30" s="3">
        <f t="shared" si="8"/>
        <v>7183</v>
      </c>
      <c r="I30" s="3">
        <f t="shared" si="9"/>
        <v>7183</v>
      </c>
      <c r="J30" s="3" t="str">
        <f t="shared" si="10"/>
        <v>Trader</v>
      </c>
    </row>
    <row r="31">
      <c r="A31" s="3" t="str">
        <f t="shared" si="1"/>
        <v>C030</v>
      </c>
      <c r="B31" s="3" t="str">
        <f t="shared" si="2"/>
        <v>Investe+</v>
      </c>
      <c r="C31" s="4">
        <f t="shared" si="3"/>
        <v>46043</v>
      </c>
      <c r="D31" s="5">
        <f t="shared" si="4"/>
        <v>0.46875</v>
      </c>
      <c r="E31" s="3">
        <f t="shared" si="5"/>
        <v>161479</v>
      </c>
      <c r="F31" s="3">
        <f t="shared" si="6"/>
        <v>158249</v>
      </c>
      <c r="G31" s="3">
        <f t="shared" si="7"/>
        <v>60134</v>
      </c>
      <c r="H31" s="3">
        <f t="shared" si="8"/>
        <v>18989</v>
      </c>
      <c r="I31" s="3">
        <f t="shared" si="9"/>
        <v>7912</v>
      </c>
      <c r="J31" s="3" t="str">
        <f t="shared" si="10"/>
        <v>Perfil moderado</v>
      </c>
    </row>
    <row r="32">
      <c r="A32" s="3" t="str">
        <f t="shared" si="1"/>
        <v>C031</v>
      </c>
      <c r="B32" s="3" t="str">
        <f t="shared" si="2"/>
        <v>PROMO TL02</v>
      </c>
      <c r="C32" s="4">
        <f t="shared" si="3"/>
        <v>46096</v>
      </c>
      <c r="D32" s="5">
        <f t="shared" si="4"/>
        <v>0.8125</v>
      </c>
      <c r="E32" s="3">
        <f t="shared" si="5"/>
        <v>51088</v>
      </c>
      <c r="F32" s="3">
        <f t="shared" si="6"/>
        <v>49044</v>
      </c>
      <c r="G32" s="3">
        <f t="shared" si="7"/>
        <v>18146</v>
      </c>
      <c r="H32" s="3">
        <f t="shared" si="8"/>
        <v>3923</v>
      </c>
      <c r="I32" s="3">
        <f t="shared" si="9"/>
        <v>1961</v>
      </c>
      <c r="J32" s="3" t="str">
        <f t="shared" si="10"/>
        <v>Perfil moderado</v>
      </c>
    </row>
    <row r="33">
      <c r="A33" s="3" t="str">
        <f t="shared" si="1"/>
        <v>C032</v>
      </c>
      <c r="B33" s="3" t="str">
        <f t="shared" si="2"/>
        <v>Comunicado Especial</v>
      </c>
      <c r="C33" s="4">
        <f t="shared" si="3"/>
        <v>46068</v>
      </c>
      <c r="D33" s="5">
        <f t="shared" si="4"/>
        <v>0.3854166667</v>
      </c>
      <c r="E33" s="3">
        <f t="shared" si="5"/>
        <v>142117</v>
      </c>
      <c r="F33" s="3">
        <f t="shared" si="6"/>
        <v>133589</v>
      </c>
      <c r="G33" s="3">
        <f t="shared" si="7"/>
        <v>13358</v>
      </c>
      <c r="H33" s="3">
        <f t="shared" si="8"/>
        <v>9351</v>
      </c>
      <c r="I33" s="3">
        <f t="shared" si="9"/>
        <v>6679</v>
      </c>
      <c r="J33" s="3" t="str">
        <f t="shared" si="10"/>
        <v>Trader</v>
      </c>
    </row>
    <row r="34">
      <c r="A34" s="3" t="str">
        <f t="shared" si="1"/>
        <v>C033</v>
      </c>
      <c r="B34" s="3" t="str">
        <f t="shared" si="2"/>
        <v>Comunicado Especial</v>
      </c>
      <c r="C34" s="4">
        <f t="shared" si="3"/>
        <v>46057</v>
      </c>
      <c r="D34" s="5">
        <f t="shared" si="4"/>
        <v>0.34375</v>
      </c>
      <c r="E34" s="3">
        <f t="shared" si="5"/>
        <v>167941</v>
      </c>
      <c r="F34" s="3">
        <f t="shared" si="6"/>
        <v>162902</v>
      </c>
      <c r="G34" s="3">
        <f t="shared" si="7"/>
        <v>37467</v>
      </c>
      <c r="H34" s="3">
        <f t="shared" si="8"/>
        <v>8145</v>
      </c>
      <c r="I34" s="3">
        <f t="shared" si="9"/>
        <v>3258</v>
      </c>
      <c r="J34" s="3" t="str">
        <f t="shared" si="10"/>
        <v>Perfil moderado</v>
      </c>
    </row>
    <row r="35">
      <c r="A35" s="3" t="str">
        <f t="shared" si="1"/>
        <v>C034</v>
      </c>
      <c r="B35" s="3" t="str">
        <f t="shared" si="2"/>
        <v>Comunicado Especial</v>
      </c>
      <c r="C35" s="4">
        <f t="shared" si="3"/>
        <v>46044</v>
      </c>
      <c r="D35" s="5">
        <f t="shared" si="4"/>
        <v>0.7708333333</v>
      </c>
      <c r="E35" s="3">
        <f t="shared" si="5"/>
        <v>98294</v>
      </c>
      <c r="F35" s="3">
        <f t="shared" si="6"/>
        <v>91413</v>
      </c>
      <c r="G35" s="3">
        <f t="shared" si="7"/>
        <v>24681</v>
      </c>
      <c r="H35" s="3">
        <f t="shared" si="8"/>
        <v>13711</v>
      </c>
      <c r="I35" s="3">
        <f t="shared" si="9"/>
        <v>3656</v>
      </c>
      <c r="J35" s="3" t="str">
        <f t="shared" si="10"/>
        <v>Alta renda</v>
      </c>
    </row>
    <row r="36">
      <c r="A36" s="3" t="str">
        <f t="shared" si="1"/>
        <v>C035</v>
      </c>
      <c r="B36" s="3" t="str">
        <f t="shared" si="2"/>
        <v>PROMO MAB09</v>
      </c>
      <c r="C36" s="4">
        <f t="shared" si="3"/>
        <v>46047</v>
      </c>
      <c r="D36" s="5">
        <f t="shared" si="4"/>
        <v>0.3541666667</v>
      </c>
      <c r="E36" s="3">
        <f t="shared" si="5"/>
        <v>121695</v>
      </c>
      <c r="F36" s="3">
        <f t="shared" si="6"/>
        <v>115610</v>
      </c>
      <c r="G36" s="3">
        <f t="shared" si="7"/>
        <v>46244</v>
      </c>
      <c r="H36" s="3">
        <f t="shared" si="8"/>
        <v>6936</v>
      </c>
      <c r="I36" s="3">
        <f t="shared" si="9"/>
        <v>4624</v>
      </c>
      <c r="J36" s="3" t="str">
        <f t="shared" si="10"/>
        <v>Alta renda</v>
      </c>
    </row>
    <row r="37">
      <c r="A37" s="3" t="str">
        <f t="shared" si="1"/>
        <v>C036</v>
      </c>
      <c r="B37" s="3" t="str">
        <f t="shared" si="2"/>
        <v>Relatorio Semanal</v>
      </c>
      <c r="C37" s="4">
        <f t="shared" si="3"/>
        <v>46105</v>
      </c>
      <c r="D37" s="5">
        <f t="shared" si="4"/>
        <v>0.5520833333</v>
      </c>
      <c r="E37" s="3">
        <f t="shared" si="5"/>
        <v>51398</v>
      </c>
      <c r="F37" s="3">
        <f t="shared" si="6"/>
        <v>47286</v>
      </c>
      <c r="G37" s="3">
        <f t="shared" si="7"/>
        <v>12294</v>
      </c>
      <c r="H37" s="3">
        <f t="shared" si="8"/>
        <v>2364</v>
      </c>
      <c r="I37" s="3">
        <f t="shared" si="9"/>
        <v>2364</v>
      </c>
      <c r="J37" s="3" t="str">
        <f t="shared" si="10"/>
        <v>Investidor iniciante</v>
      </c>
    </row>
    <row r="38">
      <c r="A38" s="3" t="str">
        <f t="shared" si="1"/>
        <v>C037</v>
      </c>
      <c r="B38" s="3" t="str">
        <f t="shared" si="2"/>
        <v>Investe+</v>
      </c>
      <c r="C38" s="4">
        <f t="shared" si="3"/>
        <v>46072</v>
      </c>
      <c r="D38" s="5">
        <f t="shared" si="4"/>
        <v>0.59375</v>
      </c>
      <c r="E38" s="3">
        <f t="shared" si="5"/>
        <v>42059</v>
      </c>
      <c r="F38" s="3">
        <f t="shared" si="6"/>
        <v>39535</v>
      </c>
      <c r="G38" s="3">
        <f t="shared" si="7"/>
        <v>15418</v>
      </c>
      <c r="H38" s="3">
        <f t="shared" si="8"/>
        <v>790</v>
      </c>
      <c r="I38" s="3">
        <f t="shared" si="9"/>
        <v>1581</v>
      </c>
      <c r="J38" s="3" t="str">
        <f t="shared" si="10"/>
        <v>Perfil moderado</v>
      </c>
    </row>
    <row r="39">
      <c r="A39" s="3" t="str">
        <f t="shared" si="1"/>
        <v>C038</v>
      </c>
      <c r="B39" s="3" t="str">
        <f t="shared" si="2"/>
        <v>Relatorio Semanal</v>
      </c>
      <c r="C39" s="4">
        <f t="shared" si="3"/>
        <v>46066</v>
      </c>
      <c r="D39" s="5">
        <f t="shared" si="4"/>
        <v>0.84375</v>
      </c>
      <c r="E39" s="3">
        <f t="shared" si="5"/>
        <v>64311</v>
      </c>
      <c r="F39" s="3">
        <f t="shared" si="6"/>
        <v>62381</v>
      </c>
      <c r="G39" s="3">
        <f t="shared" si="7"/>
        <v>18714</v>
      </c>
      <c r="H39" s="3">
        <f t="shared" si="8"/>
        <v>4366</v>
      </c>
      <c r="I39" s="3">
        <f t="shared" si="9"/>
        <v>2495</v>
      </c>
      <c r="J39" s="3" t="str">
        <f t="shared" si="10"/>
        <v>Trader</v>
      </c>
    </row>
    <row r="40">
      <c r="A40" s="3" t="str">
        <f t="shared" si="1"/>
        <v>C039</v>
      </c>
      <c r="B40" s="3" t="str">
        <f t="shared" si="2"/>
        <v>PROMO MAB09</v>
      </c>
      <c r="C40" s="4">
        <f t="shared" si="3"/>
        <v>46041</v>
      </c>
      <c r="D40" s="5">
        <f t="shared" si="4"/>
        <v>0.6041666667</v>
      </c>
      <c r="E40" s="3">
        <f t="shared" si="5"/>
        <v>157495</v>
      </c>
      <c r="F40" s="3">
        <f t="shared" si="6"/>
        <v>149620</v>
      </c>
      <c r="G40" s="3">
        <f t="shared" si="7"/>
        <v>16458</v>
      </c>
      <c r="H40" s="3">
        <f t="shared" si="8"/>
        <v>4488</v>
      </c>
      <c r="I40" s="3">
        <f t="shared" si="9"/>
        <v>7481</v>
      </c>
      <c r="J40" s="3" t="str">
        <f t="shared" si="10"/>
        <v>Perfil moderado</v>
      </c>
    </row>
    <row r="41">
      <c r="A41" s="3" t="str">
        <f t="shared" si="1"/>
        <v>C040</v>
      </c>
      <c r="B41" s="3" t="str">
        <f t="shared" si="2"/>
        <v>PROMO EXC02</v>
      </c>
      <c r="C41" s="4">
        <f t="shared" si="3"/>
        <v>46091</v>
      </c>
      <c r="D41" s="5">
        <f t="shared" si="4"/>
        <v>0.4270833333</v>
      </c>
      <c r="E41" s="3">
        <f t="shared" si="5"/>
        <v>107887</v>
      </c>
      <c r="F41" s="3">
        <f t="shared" si="6"/>
        <v>101413</v>
      </c>
      <c r="G41" s="3">
        <f t="shared" si="7"/>
        <v>32452</v>
      </c>
      <c r="H41" s="3">
        <f t="shared" si="8"/>
        <v>10141</v>
      </c>
      <c r="I41" s="3">
        <f t="shared" si="9"/>
        <v>5070</v>
      </c>
      <c r="J41" s="3" t="str">
        <f t="shared" si="10"/>
        <v>Investidor iniciante</v>
      </c>
    </row>
    <row r="42">
      <c r="A42" s="3" t="str">
        <f t="shared" si="1"/>
        <v>C041</v>
      </c>
      <c r="B42" s="3" t="str">
        <f t="shared" si="2"/>
        <v>Comunicado Especial</v>
      </c>
      <c r="C42" s="4">
        <f t="shared" si="3"/>
        <v>46031</v>
      </c>
      <c r="D42" s="5">
        <f t="shared" si="4"/>
        <v>0.5625</v>
      </c>
      <c r="E42" s="3">
        <f t="shared" si="5"/>
        <v>51708</v>
      </c>
      <c r="F42" s="3">
        <f t="shared" si="6"/>
        <v>48088</v>
      </c>
      <c r="G42" s="3">
        <f t="shared" si="7"/>
        <v>7694</v>
      </c>
      <c r="H42" s="3">
        <f t="shared" si="8"/>
        <v>2404</v>
      </c>
      <c r="I42" s="3">
        <f t="shared" si="9"/>
        <v>1923</v>
      </c>
      <c r="J42" s="3" t="str">
        <f t="shared" si="10"/>
        <v>Trader</v>
      </c>
    </row>
    <row r="43">
      <c r="A43" s="3" t="str">
        <f t="shared" si="1"/>
        <v>C042</v>
      </c>
      <c r="B43" s="3" t="str">
        <f t="shared" si="2"/>
        <v>PROMO TL02</v>
      </c>
      <c r="C43" s="4">
        <f t="shared" si="3"/>
        <v>46079</v>
      </c>
      <c r="D43" s="5">
        <f t="shared" si="4"/>
        <v>0.6875</v>
      </c>
      <c r="E43" s="3">
        <f t="shared" si="5"/>
        <v>131067</v>
      </c>
      <c r="F43" s="3">
        <f t="shared" si="6"/>
        <v>129756</v>
      </c>
      <c r="G43" s="3">
        <f t="shared" si="7"/>
        <v>45414</v>
      </c>
      <c r="H43" s="3">
        <f t="shared" si="8"/>
        <v>5190</v>
      </c>
      <c r="I43" s="3">
        <f t="shared" si="9"/>
        <v>2595</v>
      </c>
      <c r="J43" s="3" t="str">
        <f t="shared" si="10"/>
        <v>Alta renda</v>
      </c>
    </row>
    <row r="44">
      <c r="A44" s="3" t="str">
        <f t="shared" si="1"/>
        <v>C043</v>
      </c>
      <c r="B44" s="3" t="str">
        <f t="shared" si="2"/>
        <v>PROMO RF102</v>
      </c>
      <c r="C44" s="4">
        <f t="shared" si="3"/>
        <v>46099</v>
      </c>
      <c r="D44" s="5">
        <f t="shared" si="4"/>
        <v>0.6666666667</v>
      </c>
      <c r="E44" s="3">
        <f t="shared" si="5"/>
        <v>73975</v>
      </c>
      <c r="F44" s="3">
        <f t="shared" si="6"/>
        <v>69536</v>
      </c>
      <c r="G44" s="3">
        <f t="shared" si="7"/>
        <v>14602</v>
      </c>
      <c r="H44" s="3">
        <f t="shared" si="8"/>
        <v>9039</v>
      </c>
      <c r="I44" s="3">
        <f t="shared" si="9"/>
        <v>2086</v>
      </c>
      <c r="J44" s="3" t="str">
        <f t="shared" si="10"/>
        <v>Trader</v>
      </c>
    </row>
    <row r="45">
      <c r="A45" s="3" t="str">
        <f t="shared" si="1"/>
        <v>C044</v>
      </c>
      <c r="B45" s="3" t="str">
        <f t="shared" si="2"/>
        <v>Comunicado Especial</v>
      </c>
      <c r="C45" s="4">
        <f t="shared" si="3"/>
        <v>46084</v>
      </c>
      <c r="D45" s="5">
        <f t="shared" si="4"/>
        <v>0.84375</v>
      </c>
      <c r="E45" s="3">
        <f t="shared" si="5"/>
        <v>43323</v>
      </c>
      <c r="F45" s="3">
        <f t="shared" si="6"/>
        <v>39423</v>
      </c>
      <c r="G45" s="3">
        <f t="shared" si="7"/>
        <v>10644</v>
      </c>
      <c r="H45" s="3">
        <f t="shared" si="8"/>
        <v>2365</v>
      </c>
      <c r="I45" s="3">
        <f t="shared" si="9"/>
        <v>1971</v>
      </c>
      <c r="J45" s="3" t="str">
        <f t="shared" si="10"/>
        <v>Perfil moderado</v>
      </c>
    </row>
    <row r="46">
      <c r="A46" s="3" t="str">
        <f t="shared" si="1"/>
        <v>C045</v>
      </c>
      <c r="B46" s="3" t="str">
        <f t="shared" si="2"/>
        <v>Investe+</v>
      </c>
      <c r="C46" s="4">
        <f t="shared" si="3"/>
        <v>46065</v>
      </c>
      <c r="D46" s="5">
        <f t="shared" si="4"/>
        <v>0.6875</v>
      </c>
      <c r="E46" s="3">
        <f t="shared" si="5"/>
        <v>105199</v>
      </c>
      <c r="F46" s="3">
        <f t="shared" si="6"/>
        <v>103095</v>
      </c>
      <c r="G46" s="3">
        <f t="shared" si="7"/>
        <v>37114</v>
      </c>
      <c r="H46" s="3">
        <f t="shared" si="8"/>
        <v>13402</v>
      </c>
      <c r="I46" s="3">
        <f t="shared" si="9"/>
        <v>3092</v>
      </c>
      <c r="J46" s="3" t="str">
        <f t="shared" si="10"/>
        <v>Trader</v>
      </c>
    </row>
    <row r="47">
      <c r="A47" s="3" t="str">
        <f t="shared" si="1"/>
        <v>C046</v>
      </c>
      <c r="B47" s="3" t="str">
        <f t="shared" si="2"/>
        <v>Investe+</v>
      </c>
      <c r="C47" s="4">
        <f t="shared" si="3"/>
        <v>46079</v>
      </c>
      <c r="D47" s="5">
        <f t="shared" si="4"/>
        <v>0.4166666667</v>
      </c>
      <c r="E47" s="3">
        <f t="shared" si="5"/>
        <v>159174</v>
      </c>
      <c r="F47" s="3">
        <f t="shared" si="6"/>
        <v>152807</v>
      </c>
      <c r="G47" s="3">
        <f t="shared" si="7"/>
        <v>48898</v>
      </c>
      <c r="H47" s="3">
        <f t="shared" si="8"/>
        <v>15280</v>
      </c>
      <c r="I47" s="3">
        <f t="shared" si="9"/>
        <v>4584</v>
      </c>
      <c r="J47" s="3" t="str">
        <f t="shared" si="10"/>
        <v>Trader</v>
      </c>
    </row>
    <row r="48">
      <c r="A48" s="3" t="str">
        <f t="shared" si="1"/>
        <v>C047</v>
      </c>
      <c r="B48" s="3" t="str">
        <f t="shared" si="2"/>
        <v>Relatorio Diario</v>
      </c>
      <c r="C48" s="4">
        <f t="shared" si="3"/>
        <v>46092</v>
      </c>
      <c r="D48" s="5">
        <f t="shared" si="4"/>
        <v>0.6041666667</v>
      </c>
      <c r="E48" s="3">
        <f t="shared" si="5"/>
        <v>139617</v>
      </c>
      <c r="F48" s="3">
        <f t="shared" si="6"/>
        <v>128447</v>
      </c>
      <c r="G48" s="3">
        <f t="shared" si="7"/>
        <v>41103</v>
      </c>
      <c r="H48" s="3">
        <f t="shared" si="8"/>
        <v>2568</v>
      </c>
      <c r="I48" s="3">
        <f t="shared" si="9"/>
        <v>1284</v>
      </c>
      <c r="J48" s="3" t="str">
        <f t="shared" si="10"/>
        <v>Investidor iniciante</v>
      </c>
    </row>
    <row r="49">
      <c r="A49" s="3" t="str">
        <f t="shared" si="1"/>
        <v>C048</v>
      </c>
      <c r="B49" s="3" t="str">
        <f t="shared" si="2"/>
        <v>PROMO TL02</v>
      </c>
      <c r="C49" s="4">
        <f t="shared" si="3"/>
        <v>46101</v>
      </c>
      <c r="D49" s="5">
        <f t="shared" si="4"/>
        <v>0.7604166667</v>
      </c>
      <c r="E49" s="3">
        <f t="shared" si="5"/>
        <v>26185</v>
      </c>
      <c r="F49" s="3">
        <f t="shared" si="6"/>
        <v>25661</v>
      </c>
      <c r="G49" s="3">
        <f t="shared" si="7"/>
        <v>4105</v>
      </c>
      <c r="H49" s="3">
        <f t="shared" si="8"/>
        <v>3079</v>
      </c>
      <c r="I49" s="3">
        <f t="shared" si="9"/>
        <v>1026</v>
      </c>
      <c r="J49" s="3" t="str">
        <f t="shared" si="10"/>
        <v>Investidor iniciante</v>
      </c>
    </row>
    <row r="50">
      <c r="A50" s="3" t="str">
        <f t="shared" si="1"/>
        <v>C049</v>
      </c>
      <c r="B50" s="3" t="str">
        <f t="shared" si="2"/>
        <v>PROMO EXC02</v>
      </c>
      <c r="C50" s="4">
        <f t="shared" si="3"/>
        <v>46075</v>
      </c>
      <c r="D50" s="5">
        <f t="shared" si="4"/>
        <v>0.3854166667</v>
      </c>
      <c r="E50" s="3">
        <f t="shared" si="5"/>
        <v>39566</v>
      </c>
      <c r="F50" s="3">
        <f t="shared" si="6"/>
        <v>36005</v>
      </c>
      <c r="G50" s="3">
        <f t="shared" si="7"/>
        <v>9361</v>
      </c>
      <c r="H50" s="3">
        <f t="shared" si="8"/>
        <v>3960</v>
      </c>
      <c r="I50" s="3">
        <f t="shared" si="9"/>
        <v>720</v>
      </c>
      <c r="J50" s="3" t="str">
        <f t="shared" si="10"/>
        <v>Trader</v>
      </c>
    </row>
    <row r="51">
      <c r="A51" s="3" t="str">
        <f t="shared" si="1"/>
        <v>C050</v>
      </c>
      <c r="B51" s="3" t="str">
        <f t="shared" si="2"/>
        <v>PROMO MAB09</v>
      </c>
      <c r="C51" s="4">
        <f t="shared" si="3"/>
        <v>46073</v>
      </c>
      <c r="D51" s="5">
        <f t="shared" si="4"/>
        <v>0.4166666667</v>
      </c>
      <c r="E51" s="3">
        <f t="shared" si="5"/>
        <v>105729</v>
      </c>
      <c r="F51" s="3">
        <f t="shared" si="6"/>
        <v>98327</v>
      </c>
      <c r="G51" s="3">
        <f t="shared" si="7"/>
        <v>29498</v>
      </c>
      <c r="H51" s="3">
        <f t="shared" si="8"/>
        <v>6882</v>
      </c>
      <c r="I51" s="3">
        <f t="shared" si="9"/>
        <v>3933</v>
      </c>
      <c r="J51" s="3" t="str">
        <f t="shared" si="10"/>
        <v>Trader</v>
      </c>
    </row>
    <row r="52">
      <c r="A52" s="3" t="str">
        <f t="shared" si="1"/>
        <v>C051</v>
      </c>
      <c r="B52" s="3" t="str">
        <f t="shared" si="2"/>
        <v>PROMO EXC02</v>
      </c>
      <c r="C52" s="4">
        <f t="shared" si="3"/>
        <v>46083</v>
      </c>
      <c r="D52" s="5">
        <f t="shared" si="4"/>
        <v>0.3958333333</v>
      </c>
      <c r="E52" s="3">
        <f t="shared" si="5"/>
        <v>153476</v>
      </c>
      <c r="F52" s="3">
        <f t="shared" si="6"/>
        <v>150406</v>
      </c>
      <c r="G52" s="3">
        <f t="shared" si="7"/>
        <v>39105</v>
      </c>
      <c r="H52" s="3">
        <f t="shared" si="8"/>
        <v>12032</v>
      </c>
      <c r="I52" s="3">
        <f t="shared" si="9"/>
        <v>7520</v>
      </c>
      <c r="J52" s="3" t="str">
        <f t="shared" si="10"/>
        <v>Alta renda</v>
      </c>
    </row>
    <row r="53">
      <c r="A53" s="3" t="str">
        <f t="shared" si="1"/>
        <v>C052</v>
      </c>
      <c r="B53" s="3" t="str">
        <f t="shared" si="2"/>
        <v>Investe+</v>
      </c>
      <c r="C53" s="4">
        <f t="shared" si="3"/>
        <v>46087</v>
      </c>
      <c r="D53" s="5">
        <f t="shared" si="4"/>
        <v>0.6354166667</v>
      </c>
      <c r="E53" s="3">
        <f t="shared" si="5"/>
        <v>31939</v>
      </c>
      <c r="F53" s="3">
        <f t="shared" si="6"/>
        <v>28745</v>
      </c>
      <c r="G53" s="3">
        <f t="shared" si="7"/>
        <v>9773</v>
      </c>
      <c r="H53" s="3">
        <f t="shared" si="8"/>
        <v>1149</v>
      </c>
      <c r="I53" s="3">
        <f t="shared" si="9"/>
        <v>1149</v>
      </c>
      <c r="J53" s="3" t="str">
        <f t="shared" si="10"/>
        <v>Perfil moderado</v>
      </c>
    </row>
    <row r="54">
      <c r="A54" s="3" t="str">
        <f t="shared" si="1"/>
        <v>C053</v>
      </c>
      <c r="B54" s="3" t="str">
        <f t="shared" si="2"/>
        <v>PROMO RF102</v>
      </c>
      <c r="C54" s="4">
        <f t="shared" si="3"/>
        <v>46078</v>
      </c>
      <c r="D54" s="5">
        <f t="shared" si="4"/>
        <v>0.7604166667</v>
      </c>
      <c r="E54" s="3">
        <f t="shared" si="5"/>
        <v>48556</v>
      </c>
      <c r="F54" s="3">
        <f t="shared" si="6"/>
        <v>47584</v>
      </c>
      <c r="G54" s="3">
        <f t="shared" si="7"/>
        <v>10944</v>
      </c>
      <c r="H54" s="3">
        <f t="shared" si="8"/>
        <v>4758</v>
      </c>
      <c r="I54" s="3">
        <f t="shared" si="9"/>
        <v>1903</v>
      </c>
      <c r="J54" s="3" t="str">
        <f t="shared" si="10"/>
        <v>Trader</v>
      </c>
    </row>
    <row r="55">
      <c r="A55" s="3" t="str">
        <f t="shared" si="1"/>
        <v>C054</v>
      </c>
      <c r="B55" s="3" t="str">
        <f t="shared" si="2"/>
        <v>Relatorio Semanal</v>
      </c>
      <c r="C55" s="4">
        <f t="shared" si="3"/>
        <v>46049</v>
      </c>
      <c r="D55" s="5">
        <f t="shared" si="4"/>
        <v>0.5208333333</v>
      </c>
      <c r="E55" s="3">
        <f t="shared" si="5"/>
        <v>25079</v>
      </c>
      <c r="F55" s="3">
        <f t="shared" si="6"/>
        <v>23323</v>
      </c>
      <c r="G55" s="3">
        <f t="shared" si="7"/>
        <v>2332</v>
      </c>
      <c r="H55" s="3">
        <f t="shared" si="8"/>
        <v>2099</v>
      </c>
      <c r="I55" s="3">
        <f t="shared" si="9"/>
        <v>699</v>
      </c>
      <c r="J55" s="3" t="str">
        <f t="shared" si="10"/>
        <v>Perfil moderado</v>
      </c>
    </row>
    <row r="56">
      <c r="A56" s="3" t="str">
        <f t="shared" si="1"/>
        <v>C055</v>
      </c>
      <c r="B56" s="3" t="str">
        <f t="shared" si="2"/>
        <v>PROMO EXC02</v>
      </c>
      <c r="C56" s="4">
        <f t="shared" si="3"/>
        <v>46107</v>
      </c>
      <c r="D56" s="5">
        <f t="shared" si="4"/>
        <v>0.3541666667</v>
      </c>
      <c r="E56" s="3">
        <f t="shared" si="5"/>
        <v>167257</v>
      </c>
      <c r="F56" s="3">
        <f t="shared" si="6"/>
        <v>165584</v>
      </c>
      <c r="G56" s="3">
        <f t="shared" si="7"/>
        <v>24837</v>
      </c>
      <c r="H56" s="3">
        <f t="shared" si="8"/>
        <v>6623</v>
      </c>
      <c r="I56" s="3">
        <f t="shared" si="9"/>
        <v>6623</v>
      </c>
      <c r="J56" s="3" t="str">
        <f t="shared" si="10"/>
        <v>Trader</v>
      </c>
    </row>
    <row r="57">
      <c r="A57" s="3" t="str">
        <f t="shared" si="1"/>
        <v>C056</v>
      </c>
      <c r="B57" s="3" t="str">
        <f t="shared" si="2"/>
        <v>Relatorio Semanal</v>
      </c>
      <c r="C57" s="4">
        <f t="shared" si="3"/>
        <v>46097</v>
      </c>
      <c r="D57" s="5">
        <f t="shared" si="4"/>
        <v>0.8854166667</v>
      </c>
      <c r="E57" s="3">
        <f t="shared" si="5"/>
        <v>11505</v>
      </c>
      <c r="F57" s="3">
        <f t="shared" si="6"/>
        <v>10584</v>
      </c>
      <c r="G57" s="3">
        <f t="shared" si="7"/>
        <v>2116</v>
      </c>
      <c r="H57" s="3">
        <f t="shared" si="8"/>
        <v>317</v>
      </c>
      <c r="I57" s="3">
        <f t="shared" si="9"/>
        <v>317</v>
      </c>
      <c r="J57" s="3" t="str">
        <f t="shared" si="10"/>
        <v>Investidor iniciante</v>
      </c>
    </row>
    <row r="58">
      <c r="A58" s="3" t="str">
        <f t="shared" si="1"/>
        <v>C057</v>
      </c>
      <c r="B58" s="3" t="str">
        <f t="shared" si="2"/>
        <v>PROMO EXC02</v>
      </c>
      <c r="C58" s="4">
        <f t="shared" si="3"/>
        <v>46044</v>
      </c>
      <c r="D58" s="5">
        <f t="shared" si="4"/>
        <v>0.5104166667</v>
      </c>
      <c r="E58" s="3">
        <f t="shared" si="5"/>
        <v>153315</v>
      </c>
      <c r="F58" s="3">
        <f t="shared" si="6"/>
        <v>150248</v>
      </c>
      <c r="G58" s="3">
        <f t="shared" si="7"/>
        <v>19532</v>
      </c>
      <c r="H58" s="3">
        <f t="shared" si="8"/>
        <v>15024</v>
      </c>
      <c r="I58" s="3">
        <f t="shared" si="9"/>
        <v>6009</v>
      </c>
      <c r="J58" s="3" t="str">
        <f t="shared" si="10"/>
        <v>Perfil moderado</v>
      </c>
    </row>
    <row r="59">
      <c r="A59" s="3" t="str">
        <f t="shared" si="1"/>
        <v>C058</v>
      </c>
      <c r="B59" s="3" t="str">
        <f t="shared" si="2"/>
        <v>Relatorio Diario</v>
      </c>
      <c r="C59" s="4">
        <f t="shared" si="3"/>
        <v>46067</v>
      </c>
      <c r="D59" s="5">
        <f t="shared" si="4"/>
        <v>0.8541666667</v>
      </c>
      <c r="E59" s="3">
        <f t="shared" si="5"/>
        <v>130446</v>
      </c>
      <c r="F59" s="3">
        <f t="shared" si="6"/>
        <v>125228</v>
      </c>
      <c r="G59" s="3">
        <f t="shared" si="7"/>
        <v>47586</v>
      </c>
      <c r="H59" s="3">
        <f t="shared" si="8"/>
        <v>15027</v>
      </c>
      <c r="I59" s="3">
        <f t="shared" si="9"/>
        <v>1252</v>
      </c>
      <c r="J59" s="3" t="str">
        <f t="shared" si="10"/>
        <v>Trader</v>
      </c>
    </row>
    <row r="60">
      <c r="A60" s="3" t="str">
        <f t="shared" si="1"/>
        <v>C059</v>
      </c>
      <c r="B60" s="3" t="str">
        <f t="shared" si="2"/>
        <v>Investe+</v>
      </c>
      <c r="C60" s="4">
        <f t="shared" si="3"/>
        <v>46089</v>
      </c>
      <c r="D60" s="5">
        <f t="shared" si="4"/>
        <v>0.7604166667</v>
      </c>
      <c r="E60" s="3">
        <f t="shared" si="5"/>
        <v>28877</v>
      </c>
      <c r="F60" s="3">
        <f t="shared" si="6"/>
        <v>27721</v>
      </c>
      <c r="G60" s="3">
        <f t="shared" si="7"/>
        <v>4158</v>
      </c>
      <c r="H60" s="3">
        <f t="shared" si="8"/>
        <v>1108</v>
      </c>
      <c r="I60" s="3">
        <f t="shared" si="9"/>
        <v>1108</v>
      </c>
      <c r="J60" s="3" t="str">
        <f t="shared" si="10"/>
        <v>Perfil moderado</v>
      </c>
    </row>
    <row r="61">
      <c r="A61" s="3" t="str">
        <f t="shared" si="1"/>
        <v>C060</v>
      </c>
      <c r="B61" s="3" t="str">
        <f t="shared" si="2"/>
        <v>Investe+</v>
      </c>
      <c r="C61" s="4">
        <f t="shared" si="3"/>
        <v>46088</v>
      </c>
      <c r="D61" s="5">
        <f t="shared" si="4"/>
        <v>0.6875</v>
      </c>
      <c r="E61" s="3">
        <f t="shared" si="5"/>
        <v>106896</v>
      </c>
      <c r="F61" s="3">
        <f t="shared" si="6"/>
        <v>101551</v>
      </c>
      <c r="G61" s="3">
        <f t="shared" si="7"/>
        <v>13201</v>
      </c>
      <c r="H61" s="3">
        <f t="shared" si="8"/>
        <v>6093</v>
      </c>
      <c r="I61" s="3">
        <f t="shared" si="9"/>
        <v>3046</v>
      </c>
      <c r="J61" s="3" t="str">
        <f t="shared" si="10"/>
        <v>Perfil moderado</v>
      </c>
    </row>
    <row r="62">
      <c r="A62" s="3" t="str">
        <f t="shared" si="1"/>
        <v>C061</v>
      </c>
      <c r="B62" s="3" t="str">
        <f t="shared" si="2"/>
        <v>PROMO HCT01</v>
      </c>
      <c r="C62" s="4">
        <f t="shared" si="3"/>
        <v>46048</v>
      </c>
      <c r="D62" s="5">
        <f t="shared" si="4"/>
        <v>0.46875</v>
      </c>
      <c r="E62" s="3">
        <f t="shared" si="5"/>
        <v>31195</v>
      </c>
      <c r="F62" s="3">
        <f t="shared" si="6"/>
        <v>29323</v>
      </c>
      <c r="G62" s="3">
        <f t="shared" si="7"/>
        <v>7037</v>
      </c>
      <c r="H62" s="3">
        <f t="shared" si="8"/>
        <v>1172</v>
      </c>
      <c r="I62" s="3">
        <f t="shared" si="9"/>
        <v>293</v>
      </c>
      <c r="J62" s="3" t="str">
        <f t="shared" si="10"/>
        <v>Alta renda</v>
      </c>
    </row>
    <row r="63">
      <c r="A63" s="3" t="str">
        <f t="shared" si="1"/>
        <v>C062</v>
      </c>
      <c r="B63" s="3" t="str">
        <f t="shared" si="2"/>
        <v>PROMO TL02</v>
      </c>
      <c r="C63" s="4">
        <f t="shared" si="3"/>
        <v>46087</v>
      </c>
      <c r="D63" s="5">
        <f t="shared" si="4"/>
        <v>0.8125</v>
      </c>
      <c r="E63" s="3">
        <f t="shared" si="5"/>
        <v>22702</v>
      </c>
      <c r="F63" s="3">
        <f t="shared" si="6"/>
        <v>22247</v>
      </c>
      <c r="G63" s="3">
        <f t="shared" si="7"/>
        <v>4449</v>
      </c>
      <c r="H63" s="3">
        <f t="shared" si="8"/>
        <v>3114</v>
      </c>
      <c r="I63" s="3">
        <f t="shared" si="9"/>
        <v>667</v>
      </c>
      <c r="J63" s="3" t="str">
        <f t="shared" si="10"/>
        <v>Investidor iniciante</v>
      </c>
    </row>
    <row r="64">
      <c r="A64" s="3" t="str">
        <f t="shared" si="1"/>
        <v>C063</v>
      </c>
      <c r="B64" s="3" t="str">
        <f t="shared" si="2"/>
        <v>PROMO EXC02</v>
      </c>
      <c r="C64" s="4">
        <f t="shared" si="3"/>
        <v>46042</v>
      </c>
      <c r="D64" s="5">
        <f t="shared" si="4"/>
        <v>0.7291666667</v>
      </c>
      <c r="E64" s="3">
        <f t="shared" si="5"/>
        <v>127440</v>
      </c>
      <c r="F64" s="3">
        <f t="shared" si="6"/>
        <v>124891</v>
      </c>
      <c r="G64" s="3">
        <f t="shared" si="7"/>
        <v>28724</v>
      </c>
      <c r="H64" s="3">
        <f t="shared" si="8"/>
        <v>2497</v>
      </c>
      <c r="I64" s="3">
        <f t="shared" si="9"/>
        <v>3746</v>
      </c>
      <c r="J64" s="3" t="str">
        <f t="shared" si="10"/>
        <v>Alta renda</v>
      </c>
    </row>
    <row r="65">
      <c r="A65" s="3" t="str">
        <f t="shared" si="1"/>
        <v>C064</v>
      </c>
      <c r="B65" s="3" t="str">
        <f t="shared" si="2"/>
        <v>Investe+</v>
      </c>
      <c r="C65" s="4">
        <f t="shared" si="3"/>
        <v>46091</v>
      </c>
      <c r="D65" s="5">
        <f t="shared" si="4"/>
        <v>0.4270833333</v>
      </c>
      <c r="E65" s="3">
        <f t="shared" si="5"/>
        <v>131623</v>
      </c>
      <c r="F65" s="3">
        <f t="shared" si="6"/>
        <v>123725</v>
      </c>
      <c r="G65" s="3">
        <f t="shared" si="7"/>
        <v>28456</v>
      </c>
      <c r="H65" s="3">
        <f t="shared" si="8"/>
        <v>18558</v>
      </c>
      <c r="I65" s="3">
        <f t="shared" si="9"/>
        <v>1237</v>
      </c>
      <c r="J65" s="3" t="str">
        <f t="shared" si="10"/>
        <v>Perfil moderado</v>
      </c>
    </row>
    <row r="66">
      <c r="A66" s="3" t="str">
        <f t="shared" si="1"/>
        <v>C065</v>
      </c>
      <c r="B66" s="3" t="str">
        <f t="shared" si="2"/>
        <v>Comunicado Especial</v>
      </c>
      <c r="C66" s="4">
        <f t="shared" si="3"/>
        <v>46032</v>
      </c>
      <c r="D66" s="5">
        <f t="shared" si="4"/>
        <v>0.3854166667</v>
      </c>
      <c r="E66" s="3">
        <f t="shared" si="5"/>
        <v>106363</v>
      </c>
      <c r="F66" s="3">
        <f t="shared" si="6"/>
        <v>101044</v>
      </c>
      <c r="G66" s="3">
        <f t="shared" si="7"/>
        <v>14146</v>
      </c>
      <c r="H66" s="3">
        <f t="shared" si="8"/>
        <v>3031</v>
      </c>
      <c r="I66" s="3">
        <f t="shared" si="9"/>
        <v>4041</v>
      </c>
      <c r="J66" s="3" t="str">
        <f t="shared" si="10"/>
        <v>Trader</v>
      </c>
    </row>
    <row r="67">
      <c r="A67" s="3" t="str">
        <f t="shared" si="1"/>
        <v>C066</v>
      </c>
      <c r="B67" s="3" t="str">
        <f t="shared" si="2"/>
        <v>PROMO TL02</v>
      </c>
      <c r="C67" s="4">
        <f t="shared" si="3"/>
        <v>46047</v>
      </c>
      <c r="D67" s="5">
        <f t="shared" si="4"/>
        <v>0.6458333333</v>
      </c>
      <c r="E67" s="3">
        <f t="shared" si="5"/>
        <v>72202</v>
      </c>
      <c r="F67" s="3">
        <f t="shared" si="6"/>
        <v>70035</v>
      </c>
      <c r="G67" s="3">
        <f t="shared" si="7"/>
        <v>7703</v>
      </c>
      <c r="H67" s="3">
        <f t="shared" si="8"/>
        <v>6303</v>
      </c>
      <c r="I67" s="3">
        <f t="shared" si="9"/>
        <v>2101</v>
      </c>
      <c r="J67" s="3" t="str">
        <f t="shared" si="10"/>
        <v>Alta renda</v>
      </c>
    </row>
    <row r="68">
      <c r="A68" s="3" t="str">
        <f t="shared" si="1"/>
        <v>C067</v>
      </c>
      <c r="B68" s="3" t="str">
        <f t="shared" si="2"/>
        <v>PROMO RF102</v>
      </c>
      <c r="C68" s="4">
        <f t="shared" si="3"/>
        <v>46100</v>
      </c>
      <c r="D68" s="5">
        <f t="shared" si="4"/>
        <v>0.4791666667</v>
      </c>
      <c r="E68" s="3">
        <f t="shared" si="5"/>
        <v>164473</v>
      </c>
      <c r="F68" s="3">
        <f t="shared" si="6"/>
        <v>162828</v>
      </c>
      <c r="G68" s="3">
        <f t="shared" si="7"/>
        <v>19539</v>
      </c>
      <c r="H68" s="3">
        <f t="shared" si="8"/>
        <v>3256</v>
      </c>
      <c r="I68" s="3">
        <f t="shared" si="9"/>
        <v>4884</v>
      </c>
      <c r="J68" s="3" t="str">
        <f t="shared" si="10"/>
        <v>Alta renda</v>
      </c>
    </row>
    <row r="69">
      <c r="A69" s="3" t="str">
        <f t="shared" si="1"/>
        <v>C068</v>
      </c>
      <c r="B69" s="3" t="str">
        <f t="shared" si="2"/>
        <v>PROMO MAB09</v>
      </c>
      <c r="C69" s="4">
        <f t="shared" si="3"/>
        <v>46090</v>
      </c>
      <c r="D69" s="5">
        <f t="shared" si="4"/>
        <v>0.46875</v>
      </c>
      <c r="E69" s="3">
        <f t="shared" si="5"/>
        <v>85270</v>
      </c>
      <c r="F69" s="3">
        <f t="shared" si="6"/>
        <v>82711</v>
      </c>
      <c r="G69" s="3">
        <f t="shared" si="7"/>
        <v>20677</v>
      </c>
      <c r="H69" s="3">
        <f t="shared" si="8"/>
        <v>7443</v>
      </c>
      <c r="I69" s="3">
        <f t="shared" si="9"/>
        <v>827</v>
      </c>
      <c r="J69" s="3" t="str">
        <f t="shared" si="10"/>
        <v>Trader</v>
      </c>
    </row>
    <row r="70">
      <c r="A70" s="3" t="str">
        <f t="shared" si="1"/>
        <v>C069</v>
      </c>
      <c r="B70" s="3" t="str">
        <f t="shared" si="2"/>
        <v>PROMO HCT01</v>
      </c>
      <c r="C70" s="4">
        <f t="shared" si="3"/>
        <v>46028</v>
      </c>
      <c r="D70" s="5">
        <f t="shared" si="4"/>
        <v>0.6354166667</v>
      </c>
      <c r="E70" s="3">
        <f t="shared" si="5"/>
        <v>88738</v>
      </c>
      <c r="F70" s="3">
        <f t="shared" si="6"/>
        <v>79864</v>
      </c>
      <c r="G70" s="3">
        <f t="shared" si="7"/>
        <v>19966</v>
      </c>
      <c r="H70" s="3">
        <f t="shared" si="8"/>
        <v>8785</v>
      </c>
      <c r="I70" s="3">
        <f t="shared" si="9"/>
        <v>1597</v>
      </c>
      <c r="J70" s="3" t="str">
        <f t="shared" si="10"/>
        <v>Alta renda</v>
      </c>
    </row>
    <row r="71">
      <c r="A71" s="3" t="str">
        <f t="shared" si="1"/>
        <v>C070</v>
      </c>
      <c r="B71" s="3" t="str">
        <f t="shared" si="2"/>
        <v>PROMO TL02</v>
      </c>
      <c r="C71" s="4">
        <f t="shared" si="3"/>
        <v>46054</v>
      </c>
      <c r="D71" s="5">
        <f t="shared" si="4"/>
        <v>0.71875</v>
      </c>
      <c r="E71" s="3">
        <f t="shared" si="5"/>
        <v>129927</v>
      </c>
      <c r="F71" s="3">
        <f t="shared" si="6"/>
        <v>116934</v>
      </c>
      <c r="G71" s="3">
        <f t="shared" si="7"/>
        <v>45604</v>
      </c>
      <c r="H71" s="3">
        <f t="shared" si="8"/>
        <v>17540</v>
      </c>
      <c r="I71" s="3">
        <f t="shared" si="9"/>
        <v>4677</v>
      </c>
      <c r="J71" s="3" t="str">
        <f t="shared" si="10"/>
        <v>Alta renda</v>
      </c>
    </row>
    <row r="72">
      <c r="A72" s="3" t="str">
        <f t="shared" si="1"/>
        <v>C071</v>
      </c>
      <c r="B72" s="3" t="str">
        <f t="shared" si="2"/>
        <v>PROMO MAB09</v>
      </c>
      <c r="C72" s="4">
        <f t="shared" si="3"/>
        <v>46102</v>
      </c>
      <c r="D72" s="5">
        <f t="shared" si="4"/>
        <v>0.9166666667</v>
      </c>
      <c r="E72" s="3">
        <f t="shared" si="5"/>
        <v>158281</v>
      </c>
      <c r="F72" s="3">
        <f t="shared" si="6"/>
        <v>144035</v>
      </c>
      <c r="G72" s="3">
        <f t="shared" si="7"/>
        <v>21605</v>
      </c>
      <c r="H72" s="3">
        <f t="shared" si="8"/>
        <v>10082</v>
      </c>
      <c r="I72" s="3">
        <f t="shared" si="9"/>
        <v>5761</v>
      </c>
      <c r="J72" s="3" t="str">
        <f t="shared" si="10"/>
        <v>Investidor iniciante</v>
      </c>
    </row>
    <row r="73">
      <c r="A73" s="3" t="str">
        <f t="shared" si="1"/>
        <v>C072</v>
      </c>
      <c r="B73" s="3" t="str">
        <f t="shared" si="2"/>
        <v>Relatorio Diario</v>
      </c>
      <c r="C73" s="4">
        <f t="shared" si="3"/>
        <v>46044</v>
      </c>
      <c r="D73" s="5">
        <f t="shared" si="4"/>
        <v>0.5833333333</v>
      </c>
      <c r="E73" s="3">
        <f t="shared" si="5"/>
        <v>26817</v>
      </c>
      <c r="F73" s="3">
        <f t="shared" si="6"/>
        <v>26548</v>
      </c>
      <c r="G73" s="3">
        <f t="shared" si="7"/>
        <v>9026</v>
      </c>
      <c r="H73" s="3">
        <f t="shared" si="8"/>
        <v>3716</v>
      </c>
      <c r="I73" s="3">
        <f t="shared" si="9"/>
        <v>796</v>
      </c>
      <c r="J73" s="3" t="str">
        <f t="shared" si="10"/>
        <v>Trader</v>
      </c>
    </row>
    <row r="74">
      <c r="A74" s="3" t="str">
        <f t="shared" si="1"/>
        <v>C073</v>
      </c>
      <c r="B74" s="3" t="str">
        <f t="shared" si="2"/>
        <v>PROMO TL02</v>
      </c>
      <c r="C74" s="4">
        <f t="shared" si="3"/>
        <v>46028</v>
      </c>
      <c r="D74" s="5">
        <f t="shared" si="4"/>
        <v>0.5208333333</v>
      </c>
      <c r="E74" s="3">
        <f t="shared" si="5"/>
        <v>110187</v>
      </c>
      <c r="F74" s="3">
        <f t="shared" si="6"/>
        <v>99168</v>
      </c>
      <c r="G74" s="3">
        <f t="shared" si="7"/>
        <v>23800</v>
      </c>
      <c r="H74" s="3">
        <f t="shared" si="8"/>
        <v>5950</v>
      </c>
      <c r="I74" s="3">
        <f t="shared" si="9"/>
        <v>4958</v>
      </c>
      <c r="J74" s="3" t="str">
        <f t="shared" si="10"/>
        <v>Alta renda</v>
      </c>
    </row>
    <row r="75">
      <c r="A75" s="3" t="str">
        <f t="shared" si="1"/>
        <v>C074</v>
      </c>
      <c r="B75" s="3" t="str">
        <f t="shared" si="2"/>
        <v>Investe+</v>
      </c>
      <c r="C75" s="4">
        <f t="shared" si="3"/>
        <v>46059</v>
      </c>
      <c r="D75" s="5">
        <f t="shared" si="4"/>
        <v>0.6875</v>
      </c>
      <c r="E75" s="3">
        <f t="shared" si="5"/>
        <v>120398</v>
      </c>
      <c r="F75" s="3">
        <f t="shared" si="6"/>
        <v>117990</v>
      </c>
      <c r="G75" s="3">
        <f t="shared" si="7"/>
        <v>29497</v>
      </c>
      <c r="H75" s="3">
        <f t="shared" si="8"/>
        <v>10619</v>
      </c>
      <c r="I75" s="3">
        <f t="shared" si="9"/>
        <v>5899</v>
      </c>
      <c r="J75" s="3" t="str">
        <f t="shared" si="10"/>
        <v>Alta renda</v>
      </c>
    </row>
    <row r="76">
      <c r="A76" s="3" t="str">
        <f t="shared" si="1"/>
        <v>C075</v>
      </c>
      <c r="B76" s="3" t="str">
        <f t="shared" si="2"/>
        <v>PROMO EXC02</v>
      </c>
      <c r="C76" s="4">
        <f t="shared" si="3"/>
        <v>46092</v>
      </c>
      <c r="D76" s="5">
        <f t="shared" si="4"/>
        <v>0.8125</v>
      </c>
      <c r="E76" s="3">
        <f t="shared" si="5"/>
        <v>157255</v>
      </c>
      <c r="F76" s="3">
        <f t="shared" si="6"/>
        <v>155682</v>
      </c>
      <c r="G76" s="3">
        <f t="shared" si="7"/>
        <v>43590</v>
      </c>
      <c r="H76" s="3">
        <f t="shared" si="8"/>
        <v>15568</v>
      </c>
      <c r="I76" s="3">
        <f t="shared" si="9"/>
        <v>6227</v>
      </c>
      <c r="J76" s="3" t="str">
        <f t="shared" si="10"/>
        <v>Alta renda</v>
      </c>
    </row>
    <row r="77">
      <c r="A77" s="3" t="str">
        <f t="shared" si="1"/>
        <v>C076</v>
      </c>
      <c r="B77" s="3" t="str">
        <f t="shared" si="2"/>
        <v>Comunicado Especial</v>
      </c>
      <c r="C77" s="4">
        <f t="shared" si="3"/>
        <v>46080</v>
      </c>
      <c r="D77" s="5">
        <f t="shared" si="4"/>
        <v>0.9166666667</v>
      </c>
      <c r="E77" s="3">
        <f t="shared" si="5"/>
        <v>69695</v>
      </c>
      <c r="F77" s="3">
        <f t="shared" si="6"/>
        <v>64816</v>
      </c>
      <c r="G77" s="3">
        <f t="shared" si="7"/>
        <v>16204</v>
      </c>
      <c r="H77" s="3">
        <f t="shared" si="8"/>
        <v>4537</v>
      </c>
      <c r="I77" s="3">
        <f t="shared" si="9"/>
        <v>1296</v>
      </c>
      <c r="J77" s="3" t="str">
        <f t="shared" si="10"/>
        <v>Alta renda</v>
      </c>
    </row>
    <row r="78">
      <c r="A78" s="3" t="str">
        <f t="shared" si="1"/>
        <v>C077</v>
      </c>
      <c r="B78" s="3" t="str">
        <f t="shared" si="2"/>
        <v>Relatorio Semanal</v>
      </c>
      <c r="C78" s="4">
        <f t="shared" si="3"/>
        <v>46036</v>
      </c>
      <c r="D78" s="5">
        <f t="shared" si="4"/>
        <v>0.7708333333</v>
      </c>
      <c r="E78" s="3">
        <f t="shared" si="5"/>
        <v>73751</v>
      </c>
      <c r="F78" s="3">
        <f t="shared" si="6"/>
        <v>67850</v>
      </c>
      <c r="G78" s="3">
        <f t="shared" si="7"/>
        <v>17641</v>
      </c>
      <c r="H78" s="3">
        <f t="shared" si="8"/>
        <v>4071</v>
      </c>
      <c r="I78" s="3">
        <f t="shared" si="9"/>
        <v>1357</v>
      </c>
      <c r="J78" s="3" t="str">
        <f t="shared" si="10"/>
        <v>Trader</v>
      </c>
    </row>
    <row r="79">
      <c r="A79" s="3" t="str">
        <f t="shared" si="1"/>
        <v>C078</v>
      </c>
      <c r="B79" s="3" t="str">
        <f t="shared" si="2"/>
        <v>PROMO HCT01</v>
      </c>
      <c r="C79" s="4">
        <f t="shared" si="3"/>
        <v>46025</v>
      </c>
      <c r="D79" s="5">
        <f t="shared" si="4"/>
        <v>0.5520833333</v>
      </c>
      <c r="E79" s="3">
        <f t="shared" si="5"/>
        <v>135701</v>
      </c>
      <c r="F79" s="3">
        <f t="shared" si="6"/>
        <v>126201</v>
      </c>
      <c r="G79" s="3">
        <f t="shared" si="7"/>
        <v>45432</v>
      </c>
      <c r="H79" s="3">
        <f t="shared" si="8"/>
        <v>13882</v>
      </c>
      <c r="I79" s="3">
        <f t="shared" si="9"/>
        <v>1262</v>
      </c>
      <c r="J79" s="3" t="str">
        <f t="shared" si="10"/>
        <v>Alta renda</v>
      </c>
    </row>
    <row r="80">
      <c r="A80" s="3" t="str">
        <f t="shared" si="1"/>
        <v>C079</v>
      </c>
      <c r="B80" s="3" t="str">
        <f t="shared" si="2"/>
        <v>Relatorio Diario</v>
      </c>
      <c r="C80" s="4">
        <f t="shared" si="3"/>
        <v>46103</v>
      </c>
      <c r="D80" s="5">
        <f t="shared" si="4"/>
        <v>0.6770833333</v>
      </c>
      <c r="E80" s="3">
        <f t="shared" si="5"/>
        <v>14033</v>
      </c>
      <c r="F80" s="3">
        <f t="shared" si="6"/>
        <v>13752</v>
      </c>
      <c r="G80" s="3">
        <f t="shared" si="7"/>
        <v>3713</v>
      </c>
      <c r="H80" s="3">
        <f t="shared" si="8"/>
        <v>687</v>
      </c>
      <c r="I80" s="3">
        <f t="shared" si="9"/>
        <v>412</v>
      </c>
      <c r="J80" s="3" t="str">
        <f t="shared" si="10"/>
        <v>Alta renda</v>
      </c>
    </row>
    <row r="81">
      <c r="A81" s="3" t="str">
        <f t="shared" si="1"/>
        <v>C080</v>
      </c>
      <c r="B81" s="3" t="str">
        <f t="shared" si="2"/>
        <v>Comunicado Especial</v>
      </c>
      <c r="C81" s="4">
        <f t="shared" si="3"/>
        <v>46098</v>
      </c>
      <c r="D81" s="5">
        <f t="shared" si="4"/>
        <v>0.5208333333</v>
      </c>
      <c r="E81" s="3">
        <f t="shared" si="5"/>
        <v>13261</v>
      </c>
      <c r="F81" s="3">
        <f t="shared" si="6"/>
        <v>12730</v>
      </c>
      <c r="G81" s="3">
        <f t="shared" si="7"/>
        <v>4582</v>
      </c>
      <c r="H81" s="3">
        <f t="shared" si="8"/>
        <v>1273</v>
      </c>
      <c r="I81" s="3">
        <f t="shared" si="9"/>
        <v>636</v>
      </c>
      <c r="J81" s="3" t="str">
        <f t="shared" si="10"/>
        <v>Investidor iniciante</v>
      </c>
    </row>
    <row r="82">
      <c r="A82" s="3" t="str">
        <f t="shared" si="1"/>
        <v>C081</v>
      </c>
      <c r="B82" s="3" t="str">
        <f t="shared" si="2"/>
        <v>Investe+</v>
      </c>
      <c r="C82" s="4">
        <f t="shared" si="3"/>
        <v>46035</v>
      </c>
      <c r="D82" s="5">
        <f t="shared" si="4"/>
        <v>0.8020833333</v>
      </c>
      <c r="E82" s="3">
        <f t="shared" si="5"/>
        <v>113165</v>
      </c>
      <c r="F82" s="3">
        <f t="shared" si="6"/>
        <v>108638</v>
      </c>
      <c r="G82" s="3">
        <f t="shared" si="7"/>
        <v>11950</v>
      </c>
      <c r="H82" s="3">
        <f t="shared" si="8"/>
        <v>5431</v>
      </c>
      <c r="I82" s="3">
        <f t="shared" si="9"/>
        <v>4345</v>
      </c>
      <c r="J82" s="3" t="str">
        <f t="shared" si="10"/>
        <v>Trader</v>
      </c>
    </row>
    <row r="83">
      <c r="A83" s="3" t="str">
        <f t="shared" si="1"/>
        <v>C082</v>
      </c>
      <c r="B83" s="3" t="str">
        <f t="shared" si="2"/>
        <v>Relatorio Diario</v>
      </c>
      <c r="C83" s="4">
        <f t="shared" si="3"/>
        <v>46089</v>
      </c>
      <c r="D83" s="5">
        <f t="shared" si="4"/>
        <v>0.7604166667</v>
      </c>
      <c r="E83" s="3">
        <f t="shared" si="5"/>
        <v>147724</v>
      </c>
      <c r="F83" s="3">
        <f t="shared" si="6"/>
        <v>144769</v>
      </c>
      <c r="G83" s="3">
        <f t="shared" si="7"/>
        <v>43430</v>
      </c>
      <c r="H83" s="3">
        <f t="shared" si="8"/>
        <v>2895</v>
      </c>
      <c r="I83" s="3">
        <f t="shared" si="9"/>
        <v>2895</v>
      </c>
      <c r="J83" s="3" t="str">
        <f t="shared" si="10"/>
        <v>Trader</v>
      </c>
    </row>
    <row r="84">
      <c r="A84" s="3" t="str">
        <f t="shared" si="1"/>
        <v>C083</v>
      </c>
      <c r="B84" s="3" t="str">
        <f t="shared" si="2"/>
        <v>Comunicado Especial</v>
      </c>
      <c r="C84" s="4">
        <f t="shared" si="3"/>
        <v>46084</v>
      </c>
      <c r="D84" s="5">
        <f t="shared" si="4"/>
        <v>0.75</v>
      </c>
      <c r="E84" s="3">
        <f t="shared" si="5"/>
        <v>70471</v>
      </c>
      <c r="F84" s="3">
        <f t="shared" si="6"/>
        <v>67652</v>
      </c>
      <c r="G84" s="3">
        <f t="shared" si="7"/>
        <v>22325</v>
      </c>
      <c r="H84" s="3">
        <f t="shared" si="8"/>
        <v>9471</v>
      </c>
      <c r="I84" s="3">
        <f t="shared" si="9"/>
        <v>2029</v>
      </c>
      <c r="J84" s="3" t="str">
        <f t="shared" si="10"/>
        <v>Investidor iniciante</v>
      </c>
    </row>
    <row r="85">
      <c r="A85" s="3" t="str">
        <f t="shared" si="1"/>
        <v>C084</v>
      </c>
      <c r="B85" s="3" t="str">
        <f t="shared" si="2"/>
        <v>Comunicado Especial</v>
      </c>
      <c r="C85" s="4">
        <f t="shared" si="3"/>
        <v>46061</v>
      </c>
      <c r="D85" s="5">
        <f t="shared" si="4"/>
        <v>0.5520833333</v>
      </c>
      <c r="E85" s="3">
        <f t="shared" si="5"/>
        <v>120391</v>
      </c>
      <c r="F85" s="3">
        <f t="shared" si="6"/>
        <v>119187</v>
      </c>
      <c r="G85" s="3">
        <f t="shared" si="7"/>
        <v>29796</v>
      </c>
      <c r="H85" s="3">
        <f t="shared" si="8"/>
        <v>16686</v>
      </c>
      <c r="I85" s="3">
        <f t="shared" si="9"/>
        <v>3575</v>
      </c>
      <c r="J85" s="3" t="str">
        <f t="shared" si="10"/>
        <v>Alta renda</v>
      </c>
    </row>
    <row r="86">
      <c r="A86" s="3" t="str">
        <f t="shared" si="1"/>
        <v>C085</v>
      </c>
      <c r="B86" s="3" t="str">
        <f t="shared" si="2"/>
        <v>PROMO EXC02</v>
      </c>
      <c r="C86" s="4">
        <f t="shared" si="3"/>
        <v>46030</v>
      </c>
      <c r="D86" s="5">
        <f t="shared" si="4"/>
        <v>0.5625</v>
      </c>
      <c r="E86" s="3">
        <f t="shared" si="5"/>
        <v>115838</v>
      </c>
      <c r="F86" s="3">
        <f t="shared" si="6"/>
        <v>112362</v>
      </c>
      <c r="G86" s="3">
        <f t="shared" si="7"/>
        <v>29214</v>
      </c>
      <c r="H86" s="3">
        <f t="shared" si="8"/>
        <v>7865</v>
      </c>
      <c r="I86" s="3">
        <f t="shared" si="9"/>
        <v>4494</v>
      </c>
      <c r="J86" s="3" t="str">
        <f t="shared" si="10"/>
        <v>Perfil moderado</v>
      </c>
    </row>
    <row r="87">
      <c r="A87" s="3" t="str">
        <f t="shared" si="1"/>
        <v>C086</v>
      </c>
      <c r="B87" s="3" t="str">
        <f t="shared" si="2"/>
        <v>Relatorio Semanal</v>
      </c>
      <c r="C87" s="4">
        <f t="shared" si="3"/>
        <v>46073</v>
      </c>
      <c r="D87" s="5">
        <f t="shared" si="4"/>
        <v>0.3854166667</v>
      </c>
      <c r="E87" s="3">
        <f t="shared" si="5"/>
        <v>164197</v>
      </c>
      <c r="F87" s="3">
        <f t="shared" si="6"/>
        <v>152703</v>
      </c>
      <c r="G87" s="3">
        <f t="shared" si="7"/>
        <v>29013</v>
      </c>
      <c r="H87" s="3">
        <f t="shared" si="8"/>
        <v>10689</v>
      </c>
      <c r="I87" s="3">
        <f t="shared" si="9"/>
        <v>4581</v>
      </c>
      <c r="J87" s="3" t="str">
        <f t="shared" si="10"/>
        <v>Trader</v>
      </c>
    </row>
    <row r="88">
      <c r="A88" s="3" t="str">
        <f t="shared" si="1"/>
        <v>C087</v>
      </c>
      <c r="B88" s="3" t="str">
        <f t="shared" si="2"/>
        <v>PROMO RF102</v>
      </c>
      <c r="C88" s="4">
        <f t="shared" si="3"/>
        <v>46066</v>
      </c>
      <c r="D88" s="5">
        <f t="shared" si="4"/>
        <v>0.9375</v>
      </c>
      <c r="E88" s="3">
        <f t="shared" si="5"/>
        <v>33476</v>
      </c>
      <c r="F88" s="3">
        <f t="shared" si="6"/>
        <v>30797</v>
      </c>
      <c r="G88" s="3">
        <f t="shared" si="7"/>
        <v>6775</v>
      </c>
      <c r="H88" s="3">
        <f t="shared" si="8"/>
        <v>1539</v>
      </c>
      <c r="I88" s="3">
        <f t="shared" si="9"/>
        <v>1231</v>
      </c>
      <c r="J88" s="3" t="str">
        <f t="shared" si="10"/>
        <v>Trader</v>
      </c>
    </row>
    <row r="89">
      <c r="A89" s="3" t="str">
        <f t="shared" si="1"/>
        <v>C088</v>
      </c>
      <c r="B89" s="3" t="str">
        <f t="shared" si="2"/>
        <v>Relatorio Diario</v>
      </c>
      <c r="C89" s="4">
        <f t="shared" si="3"/>
        <v>46077</v>
      </c>
      <c r="D89" s="5">
        <f t="shared" si="4"/>
        <v>0.7604166667</v>
      </c>
      <c r="E89" s="3">
        <f t="shared" si="5"/>
        <v>54105</v>
      </c>
      <c r="F89" s="3">
        <f t="shared" si="6"/>
        <v>49235</v>
      </c>
      <c r="G89" s="3">
        <f t="shared" si="7"/>
        <v>13785</v>
      </c>
      <c r="H89" s="3">
        <f t="shared" si="8"/>
        <v>6892</v>
      </c>
      <c r="I89" s="3">
        <f t="shared" si="9"/>
        <v>1477</v>
      </c>
      <c r="J89" s="3" t="str">
        <f t="shared" si="10"/>
        <v>Perfil moderado</v>
      </c>
    </row>
    <row r="90">
      <c r="A90" s="3" t="str">
        <f t="shared" si="1"/>
        <v>C089</v>
      </c>
      <c r="B90" s="3" t="str">
        <f t="shared" si="2"/>
        <v>PROMO EXC02</v>
      </c>
      <c r="C90" s="4">
        <f t="shared" si="3"/>
        <v>46039</v>
      </c>
      <c r="D90" s="5">
        <f t="shared" si="4"/>
        <v>0.375</v>
      </c>
      <c r="E90" s="3">
        <f t="shared" si="5"/>
        <v>48003</v>
      </c>
      <c r="F90" s="3">
        <f t="shared" si="6"/>
        <v>46562</v>
      </c>
      <c r="G90" s="3">
        <f t="shared" si="7"/>
        <v>6518</v>
      </c>
      <c r="H90" s="3">
        <f t="shared" si="8"/>
        <v>5587</v>
      </c>
      <c r="I90" s="3">
        <f t="shared" si="9"/>
        <v>2328</v>
      </c>
      <c r="J90" s="3" t="str">
        <f t="shared" si="10"/>
        <v>Investidor iniciante</v>
      </c>
    </row>
    <row r="91">
      <c r="A91" s="3" t="str">
        <f t="shared" si="1"/>
        <v>C090</v>
      </c>
      <c r="B91" s="3" t="str">
        <f t="shared" si="2"/>
        <v>PROMO HCT01</v>
      </c>
      <c r="C91" s="4">
        <f t="shared" si="3"/>
        <v>46033</v>
      </c>
      <c r="D91" s="5">
        <f t="shared" si="4"/>
        <v>0.75</v>
      </c>
      <c r="E91" s="3">
        <f t="shared" si="5"/>
        <v>78398</v>
      </c>
      <c r="F91" s="3">
        <f t="shared" si="6"/>
        <v>76830</v>
      </c>
      <c r="G91" s="3">
        <f t="shared" si="7"/>
        <v>22280</v>
      </c>
      <c r="H91" s="3">
        <f t="shared" si="8"/>
        <v>5378</v>
      </c>
      <c r="I91" s="3">
        <f t="shared" si="9"/>
        <v>3073</v>
      </c>
      <c r="J91" s="3" t="str">
        <f t="shared" si="10"/>
        <v>Trader</v>
      </c>
    </row>
    <row r="92">
      <c r="A92" s="3" t="str">
        <f t="shared" si="1"/>
        <v>C091</v>
      </c>
      <c r="B92" s="3" t="str">
        <f t="shared" si="2"/>
        <v>PROMO HCT01</v>
      </c>
      <c r="C92" s="4">
        <f t="shared" si="3"/>
        <v>46082</v>
      </c>
      <c r="D92" s="5">
        <f t="shared" si="4"/>
        <v>0.6354166667</v>
      </c>
      <c r="E92" s="3">
        <f t="shared" si="5"/>
        <v>48921</v>
      </c>
      <c r="F92" s="3">
        <f t="shared" si="6"/>
        <v>46474</v>
      </c>
      <c r="G92" s="3">
        <f t="shared" si="7"/>
        <v>6971</v>
      </c>
      <c r="H92" s="3">
        <f t="shared" si="8"/>
        <v>4647</v>
      </c>
      <c r="I92" s="3">
        <f t="shared" si="9"/>
        <v>1858</v>
      </c>
      <c r="J92" s="3" t="str">
        <f t="shared" si="10"/>
        <v>Alta renda</v>
      </c>
    </row>
    <row r="93">
      <c r="A93" s="3" t="str">
        <f t="shared" si="1"/>
        <v>C092</v>
      </c>
      <c r="B93" s="3" t="str">
        <f t="shared" si="2"/>
        <v>PROMO MMB10</v>
      </c>
      <c r="C93" s="4">
        <f t="shared" si="3"/>
        <v>46064</v>
      </c>
      <c r="D93" s="5">
        <f t="shared" si="4"/>
        <v>0.9270833333</v>
      </c>
      <c r="E93" s="3">
        <f t="shared" si="5"/>
        <v>147754</v>
      </c>
      <c r="F93" s="3">
        <f t="shared" si="6"/>
        <v>135933</v>
      </c>
      <c r="G93" s="3">
        <f t="shared" si="7"/>
        <v>50295</v>
      </c>
      <c r="H93" s="3">
        <f t="shared" si="8"/>
        <v>5437</v>
      </c>
      <c r="I93" s="3">
        <f t="shared" si="9"/>
        <v>4077</v>
      </c>
      <c r="J93" s="3" t="str">
        <f t="shared" si="10"/>
        <v>Investidor iniciante</v>
      </c>
    </row>
    <row r="94">
      <c r="A94" s="3" t="str">
        <f t="shared" si="1"/>
        <v>C093</v>
      </c>
      <c r="B94" s="3" t="str">
        <f t="shared" si="2"/>
        <v>Relatorio Diario</v>
      </c>
      <c r="C94" s="4">
        <f t="shared" si="3"/>
        <v>46040</v>
      </c>
      <c r="D94" s="5">
        <f t="shared" si="4"/>
        <v>0.875</v>
      </c>
      <c r="E94" s="3">
        <f t="shared" si="5"/>
        <v>155749</v>
      </c>
      <c r="F94" s="3">
        <f t="shared" si="6"/>
        <v>144846</v>
      </c>
      <c r="G94" s="3">
        <f t="shared" si="7"/>
        <v>28969</v>
      </c>
      <c r="H94" s="3">
        <f t="shared" si="8"/>
        <v>14484</v>
      </c>
      <c r="I94" s="3">
        <f t="shared" si="9"/>
        <v>2896</v>
      </c>
      <c r="J94" s="3" t="str">
        <f t="shared" si="10"/>
        <v>Investidor iniciante</v>
      </c>
    </row>
    <row r="95">
      <c r="A95" s="3" t="str">
        <f t="shared" si="1"/>
        <v>C094</v>
      </c>
      <c r="B95" s="3" t="str">
        <f t="shared" si="2"/>
        <v>PROMO EXC02</v>
      </c>
      <c r="C95" s="4">
        <f t="shared" si="3"/>
        <v>46069</v>
      </c>
      <c r="D95" s="5">
        <f t="shared" si="4"/>
        <v>0.3541666667</v>
      </c>
      <c r="E95" s="3">
        <f t="shared" si="5"/>
        <v>47473</v>
      </c>
      <c r="F95" s="3">
        <f t="shared" si="6"/>
        <v>43200</v>
      </c>
      <c r="G95" s="3">
        <f t="shared" si="7"/>
        <v>13392</v>
      </c>
      <c r="H95" s="3">
        <f t="shared" si="8"/>
        <v>6048</v>
      </c>
      <c r="I95" s="3">
        <f t="shared" si="9"/>
        <v>2160</v>
      </c>
      <c r="J95" s="3" t="str">
        <f t="shared" si="10"/>
        <v>Perfil moderado</v>
      </c>
    </row>
    <row r="96">
      <c r="A96" s="3" t="str">
        <f t="shared" si="1"/>
        <v>C095</v>
      </c>
      <c r="B96" s="3" t="str">
        <f t="shared" si="2"/>
        <v>Relatorio Diario</v>
      </c>
      <c r="C96" s="4">
        <f t="shared" si="3"/>
        <v>46039</v>
      </c>
      <c r="D96" s="5">
        <f t="shared" si="4"/>
        <v>0.8333333333</v>
      </c>
      <c r="E96" s="3">
        <f t="shared" si="5"/>
        <v>89984</v>
      </c>
      <c r="F96" s="3">
        <f t="shared" si="6"/>
        <v>89084</v>
      </c>
      <c r="G96" s="3">
        <f t="shared" si="7"/>
        <v>22271</v>
      </c>
      <c r="H96" s="3">
        <f t="shared" si="8"/>
        <v>10690</v>
      </c>
      <c r="I96" s="3">
        <f t="shared" si="9"/>
        <v>1781</v>
      </c>
      <c r="J96" s="3" t="str">
        <f t="shared" si="10"/>
        <v>Alta renda</v>
      </c>
    </row>
    <row r="97">
      <c r="A97" s="3" t="str">
        <f t="shared" si="1"/>
        <v>C096</v>
      </c>
      <c r="B97" s="3" t="str">
        <f t="shared" si="2"/>
        <v>PROMO MAB09</v>
      </c>
      <c r="C97" s="4">
        <f t="shared" si="3"/>
        <v>46080</v>
      </c>
      <c r="D97" s="5">
        <f t="shared" si="4"/>
        <v>0.6041666667</v>
      </c>
      <c r="E97" s="3">
        <f t="shared" si="5"/>
        <v>118053</v>
      </c>
      <c r="F97" s="3">
        <f t="shared" si="6"/>
        <v>109789</v>
      </c>
      <c r="G97" s="3">
        <f t="shared" si="7"/>
        <v>14272</v>
      </c>
      <c r="H97" s="3">
        <f t="shared" si="8"/>
        <v>7685</v>
      </c>
      <c r="I97" s="3">
        <f t="shared" si="9"/>
        <v>1097</v>
      </c>
      <c r="J97" s="3" t="str">
        <f t="shared" si="10"/>
        <v>Investidor iniciante</v>
      </c>
    </row>
    <row r="98">
      <c r="A98" s="3" t="str">
        <f t="shared" si="1"/>
        <v>C097</v>
      </c>
      <c r="B98" s="3" t="str">
        <f t="shared" si="2"/>
        <v>Investe+</v>
      </c>
      <c r="C98" s="4">
        <f t="shared" si="3"/>
        <v>46088</v>
      </c>
      <c r="D98" s="5">
        <f t="shared" si="4"/>
        <v>0.34375</v>
      </c>
      <c r="E98" s="3">
        <f t="shared" si="5"/>
        <v>75177</v>
      </c>
      <c r="F98" s="3">
        <f t="shared" si="6"/>
        <v>72921</v>
      </c>
      <c r="G98" s="3">
        <f t="shared" si="7"/>
        <v>7292</v>
      </c>
      <c r="H98" s="3">
        <f t="shared" si="8"/>
        <v>5104</v>
      </c>
      <c r="I98" s="3">
        <f t="shared" si="9"/>
        <v>3646</v>
      </c>
      <c r="J98" s="3" t="str">
        <f t="shared" si="10"/>
        <v>Perfil moderado</v>
      </c>
    </row>
    <row r="99">
      <c r="A99" s="3" t="str">
        <f t="shared" si="1"/>
        <v>C098</v>
      </c>
      <c r="B99" s="3" t="str">
        <f t="shared" si="2"/>
        <v>Investe+</v>
      </c>
      <c r="C99" s="4">
        <f t="shared" si="3"/>
        <v>46023</v>
      </c>
      <c r="D99" s="5">
        <f t="shared" si="4"/>
        <v>0.59375</v>
      </c>
      <c r="E99" s="3">
        <f t="shared" si="5"/>
        <v>50130</v>
      </c>
      <c r="F99" s="3">
        <f t="shared" si="6"/>
        <v>45117</v>
      </c>
      <c r="G99" s="3">
        <f t="shared" si="7"/>
        <v>14888</v>
      </c>
      <c r="H99" s="3">
        <f t="shared" si="8"/>
        <v>3609</v>
      </c>
      <c r="I99" s="3">
        <f t="shared" si="9"/>
        <v>2255</v>
      </c>
      <c r="J99" s="3" t="str">
        <f t="shared" si="10"/>
        <v>Perfil moderado</v>
      </c>
    </row>
    <row r="100">
      <c r="A100" s="3" t="str">
        <f t="shared" si="1"/>
        <v>C099</v>
      </c>
      <c r="B100" s="3" t="str">
        <f t="shared" si="2"/>
        <v>PROMO HCT01</v>
      </c>
      <c r="C100" s="4">
        <f t="shared" si="3"/>
        <v>46026</v>
      </c>
      <c r="D100" s="5">
        <f t="shared" si="4"/>
        <v>0.46875</v>
      </c>
      <c r="E100" s="3">
        <f t="shared" si="5"/>
        <v>142475</v>
      </c>
      <c r="F100" s="3">
        <f t="shared" si="6"/>
        <v>128227</v>
      </c>
      <c r="G100" s="3">
        <f t="shared" si="7"/>
        <v>44879</v>
      </c>
      <c r="H100" s="3">
        <f t="shared" si="8"/>
        <v>6411</v>
      </c>
      <c r="I100" s="3">
        <f t="shared" si="9"/>
        <v>6411</v>
      </c>
      <c r="J100" s="3" t="str">
        <f t="shared" si="10"/>
        <v>Alta renda</v>
      </c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>
      <c r="A2" s="1" t="s">
        <v>22</v>
      </c>
      <c r="B2" s="1" t="s">
        <v>23</v>
      </c>
      <c r="C2" s="6">
        <v>14091.0</v>
      </c>
      <c r="D2" s="6">
        <v>13809.0</v>
      </c>
      <c r="E2" s="6">
        <v>2071.0</v>
      </c>
      <c r="F2" s="6">
        <v>966.0</v>
      </c>
      <c r="G2" s="6">
        <v>690.0</v>
      </c>
      <c r="H2" s="6">
        <v>0.9799872258888652</v>
      </c>
      <c r="I2" s="6">
        <v>0.1499746542110218</v>
      </c>
      <c r="J2" s="6">
        <v>0.06995437757983923</v>
      </c>
      <c r="K2" s="6">
        <v>0.049967412557028024</v>
      </c>
      <c r="N2" s="1" t="s">
        <v>24</v>
      </c>
    </row>
    <row r="3">
      <c r="A3" s="1" t="s">
        <v>25</v>
      </c>
      <c r="B3" s="1" t="s">
        <v>26</v>
      </c>
      <c r="C3" s="6">
        <v>94422.0</v>
      </c>
      <c r="D3" s="6">
        <v>85924.0</v>
      </c>
      <c r="E3" s="6">
        <v>31791.0</v>
      </c>
      <c r="F3" s="6">
        <v>9451.0</v>
      </c>
      <c r="G3" s="6">
        <v>3436.0</v>
      </c>
      <c r="H3" s="6">
        <v>0.9099997881849569</v>
      </c>
      <c r="I3" s="6">
        <v>0.36998975839113635</v>
      </c>
      <c r="J3" s="6">
        <v>0.10999255155719008</v>
      </c>
      <c r="K3" s="6">
        <v>0.03998882733578511</v>
      </c>
      <c r="N3" s="1" t="s">
        <v>24</v>
      </c>
    </row>
    <row r="4">
      <c r="A4" s="1" t="s">
        <v>27</v>
      </c>
      <c r="B4" s="1" t="s">
        <v>23</v>
      </c>
      <c r="C4" s="6">
        <v>73142.0</v>
      </c>
      <c r="D4" s="6">
        <v>71679.0</v>
      </c>
      <c r="E4" s="6">
        <v>27238.0</v>
      </c>
      <c r="F4" s="6">
        <v>6451.0</v>
      </c>
      <c r="G4" s="6">
        <v>3583.0</v>
      </c>
      <c r="H4" s="6">
        <v>0.9799978124743649</v>
      </c>
      <c r="I4" s="6">
        <v>0.37999972097825024</v>
      </c>
      <c r="J4" s="6">
        <v>0.0899984653803764</v>
      </c>
      <c r="K4" s="6">
        <v>0.0499867464668871</v>
      </c>
      <c r="N4" s="1" t="s">
        <v>24</v>
      </c>
    </row>
    <row r="5">
      <c r="A5" s="1" t="s">
        <v>28</v>
      </c>
      <c r="B5" s="1" t="s">
        <v>29</v>
      </c>
      <c r="C5" s="6">
        <v>72451.0</v>
      </c>
      <c r="D5" s="6">
        <v>71726.0</v>
      </c>
      <c r="E5" s="6">
        <v>21517.0</v>
      </c>
      <c r="F5" s="6">
        <v>8607.0</v>
      </c>
      <c r="G5" s="6">
        <v>3586.0</v>
      </c>
      <c r="H5" s="6">
        <v>0.9899932368083256</v>
      </c>
      <c r="I5" s="6">
        <v>0.2999888464434096</v>
      </c>
      <c r="J5" s="6">
        <v>0.11999832696651144</v>
      </c>
      <c r="K5" s="6">
        <v>0.049995817416278614</v>
      </c>
      <c r="N5" s="1" t="s">
        <v>24</v>
      </c>
    </row>
    <row r="6">
      <c r="A6" s="1" t="s">
        <v>30</v>
      </c>
      <c r="B6" s="1" t="s">
        <v>31</v>
      </c>
      <c r="C6" s="6">
        <v>87784.0</v>
      </c>
      <c r="D6" s="6">
        <v>81639.0</v>
      </c>
      <c r="E6" s="6">
        <v>24491.0</v>
      </c>
      <c r="F6" s="6">
        <v>2449.0</v>
      </c>
      <c r="G6" s="6">
        <v>1632.0</v>
      </c>
      <c r="H6" s="6">
        <v>0.9299986330082931</v>
      </c>
      <c r="I6" s="6">
        <v>0.29999142566665443</v>
      </c>
      <c r="J6" s="6">
        <v>0.029997917661901786</v>
      </c>
      <c r="K6" s="6">
        <v>0.019990445742843494</v>
      </c>
      <c r="N6" s="1" t="s">
        <v>24</v>
      </c>
    </row>
    <row r="7">
      <c r="A7" s="1" t="s">
        <v>32</v>
      </c>
      <c r="B7" s="1" t="s">
        <v>29</v>
      </c>
      <c r="C7" s="6">
        <v>18972.0</v>
      </c>
      <c r="D7" s="6">
        <v>17264.0</v>
      </c>
      <c r="E7" s="6">
        <v>3280.0</v>
      </c>
      <c r="F7" s="6">
        <v>1035.0</v>
      </c>
      <c r="G7" s="6">
        <v>345.0</v>
      </c>
      <c r="H7" s="6">
        <v>0.9099725911870125</v>
      </c>
      <c r="I7" s="6">
        <v>0.18999073215940684</v>
      </c>
      <c r="J7" s="6">
        <v>0.059951343836886</v>
      </c>
      <c r="K7" s="6">
        <v>0.019983781278962002</v>
      </c>
      <c r="N7" s="1" t="s">
        <v>24</v>
      </c>
    </row>
    <row r="8">
      <c r="A8" s="1" t="s">
        <v>33</v>
      </c>
      <c r="B8" s="1" t="s">
        <v>26</v>
      </c>
      <c r="C8" s="6">
        <v>11627.0</v>
      </c>
      <c r="D8" s="6">
        <v>11045.0</v>
      </c>
      <c r="E8" s="6">
        <v>3534.0</v>
      </c>
      <c r="F8" s="6">
        <v>220.0</v>
      </c>
      <c r="G8" s="6">
        <v>110.0</v>
      </c>
      <c r="H8" s="6">
        <v>0.9499440956394599</v>
      </c>
      <c r="I8" s="6">
        <v>0.3199637845178814</v>
      </c>
      <c r="J8" s="6">
        <v>0.019918515165233137</v>
      </c>
      <c r="K8" s="6">
        <v>0.009959257582616569</v>
      </c>
      <c r="N8" s="1" t="s">
        <v>24</v>
      </c>
    </row>
    <row r="9">
      <c r="A9" s="1" t="s">
        <v>34</v>
      </c>
      <c r="B9" s="1" t="s">
        <v>35</v>
      </c>
      <c r="C9" s="6">
        <v>162903.0</v>
      </c>
      <c r="D9" s="6">
        <v>158015.0</v>
      </c>
      <c r="E9" s="6">
        <v>63206.0</v>
      </c>
      <c r="F9" s="6">
        <v>18961.0</v>
      </c>
      <c r="G9" s="6">
        <v>4740.0</v>
      </c>
      <c r="H9" s="6">
        <v>0.9699944138536429</v>
      </c>
      <c r="I9" s="6">
        <v>0.4</v>
      </c>
      <c r="J9" s="6">
        <v>0.11999493718950732</v>
      </c>
      <c r="K9" s="6">
        <v>0.02999715216909787</v>
      </c>
      <c r="N9" s="1" t="s">
        <v>24</v>
      </c>
    </row>
    <row r="10">
      <c r="A10" s="1" t="s">
        <v>36</v>
      </c>
      <c r="B10" s="1" t="s">
        <v>35</v>
      </c>
      <c r="C10" s="6">
        <v>61726.0</v>
      </c>
      <c r="D10" s="6">
        <v>59256.0</v>
      </c>
      <c r="E10" s="6">
        <v>15999.0</v>
      </c>
      <c r="F10" s="6">
        <v>8888.0</v>
      </c>
      <c r="G10" s="6">
        <v>1185.0</v>
      </c>
      <c r="H10" s="6">
        <v>0.959984447396559</v>
      </c>
      <c r="I10" s="6">
        <v>0.2699979748886189</v>
      </c>
      <c r="J10" s="6">
        <v>0.1499932496287296</v>
      </c>
      <c r="K10" s="6">
        <v>0.019997974888618875</v>
      </c>
      <c r="N10" s="1" t="s">
        <v>24</v>
      </c>
    </row>
    <row r="11">
      <c r="A11" s="1" t="s">
        <v>37</v>
      </c>
      <c r="B11" s="1" t="s">
        <v>26</v>
      </c>
      <c r="C11" s="6">
        <v>132277.0</v>
      </c>
      <c r="D11" s="6">
        <v>123017.0</v>
      </c>
      <c r="E11" s="6">
        <v>27063.0</v>
      </c>
      <c r="F11" s="6">
        <v>2460.0</v>
      </c>
      <c r="G11" s="6">
        <v>3690.0</v>
      </c>
      <c r="H11" s="6">
        <v>0.9299953884651149</v>
      </c>
      <c r="I11" s="6">
        <v>0.21999398457123812</v>
      </c>
      <c r="J11" s="6">
        <v>0.01999723615435265</v>
      </c>
      <c r="K11" s="6">
        <v>0.029995854231528975</v>
      </c>
      <c r="N11" s="1" t="s">
        <v>24</v>
      </c>
    </row>
    <row r="12">
      <c r="A12" s="1" t="s">
        <v>38</v>
      </c>
      <c r="B12" s="1" t="s">
        <v>39</v>
      </c>
      <c r="C12" s="6">
        <v>115239.0</v>
      </c>
      <c r="D12" s="6">
        <v>109477.0</v>
      </c>
      <c r="E12" s="6">
        <v>30653.0</v>
      </c>
      <c r="F12" s="6">
        <v>15326.0</v>
      </c>
      <c r="G12" s="6">
        <v>3284.0</v>
      </c>
      <c r="H12" s="6">
        <v>0.949999566119109</v>
      </c>
      <c r="I12" s="6">
        <v>0.27999488477031703</v>
      </c>
      <c r="J12" s="6">
        <v>0.13999287521579876</v>
      </c>
      <c r="K12" s="6">
        <v>0.02999716835499694</v>
      </c>
      <c r="N12" s="1" t="s">
        <v>24</v>
      </c>
    </row>
    <row r="13">
      <c r="A13" s="1" t="s">
        <v>40</v>
      </c>
      <c r="B13" s="1" t="s">
        <v>41</v>
      </c>
      <c r="C13" s="6">
        <v>125201.0</v>
      </c>
      <c r="D13" s="6">
        <v>112680.0</v>
      </c>
      <c r="E13" s="6">
        <v>12394.0</v>
      </c>
      <c r="F13" s="6">
        <v>3380.0</v>
      </c>
      <c r="G13" s="6">
        <v>4507.0</v>
      </c>
      <c r="H13" s="6">
        <v>0.8999928115590131</v>
      </c>
      <c r="I13" s="6">
        <v>0.1099929002484913</v>
      </c>
      <c r="J13" s="6">
        <v>0.029996450124245653</v>
      </c>
      <c r="K13" s="6">
        <v>0.039998225062122826</v>
      </c>
      <c r="N13" s="1" t="s">
        <v>24</v>
      </c>
    </row>
    <row r="14">
      <c r="A14" s="1" t="s">
        <v>42</v>
      </c>
      <c r="B14" s="1" t="s">
        <v>39</v>
      </c>
      <c r="C14" s="6">
        <v>15124.0</v>
      </c>
      <c r="D14" s="6">
        <v>14821.0</v>
      </c>
      <c r="E14" s="6">
        <v>4298.0</v>
      </c>
      <c r="F14" s="6">
        <v>1778.0</v>
      </c>
      <c r="G14" s="6">
        <v>444.0</v>
      </c>
      <c r="H14" s="6">
        <v>0.9799656175614917</v>
      </c>
      <c r="I14" s="6">
        <v>0.28999392753525405</v>
      </c>
      <c r="J14" s="6">
        <v>0.1199649146481344</v>
      </c>
      <c r="K14" s="6">
        <v>0.02995749274677822</v>
      </c>
      <c r="N14" s="1" t="s">
        <v>24</v>
      </c>
    </row>
    <row r="15">
      <c r="A15" s="1" t="s">
        <v>43</v>
      </c>
      <c r="B15" s="1" t="s">
        <v>26</v>
      </c>
      <c r="C15" s="6">
        <v>105573.0</v>
      </c>
      <c r="D15" s="6">
        <v>99238.0</v>
      </c>
      <c r="E15" s="6">
        <v>29771.0</v>
      </c>
      <c r="F15" s="6">
        <v>10916.0</v>
      </c>
      <c r="G15" s="6">
        <v>3969.0</v>
      </c>
      <c r="H15" s="6">
        <v>0.9399941272863327</v>
      </c>
      <c r="I15" s="6">
        <v>0.299995969285959</v>
      </c>
      <c r="J15" s="6">
        <v>0.10999818617868155</v>
      </c>
      <c r="K15" s="6">
        <v>0.03999476007174671</v>
      </c>
      <c r="N15" s="1" t="s">
        <v>24</v>
      </c>
    </row>
    <row r="16">
      <c r="A16" s="1" t="s">
        <v>44</v>
      </c>
      <c r="B16" s="1" t="s">
        <v>26</v>
      </c>
      <c r="C16" s="6">
        <v>113090.0</v>
      </c>
      <c r="D16" s="6">
        <v>104042.0</v>
      </c>
      <c r="E16" s="6">
        <v>36414.0</v>
      </c>
      <c r="F16" s="6">
        <v>6242.0</v>
      </c>
      <c r="G16" s="6">
        <v>2080.0</v>
      </c>
      <c r="H16" s="6">
        <v>0.9199929259881511</v>
      </c>
      <c r="I16" s="6">
        <v>0.3499932719478672</v>
      </c>
      <c r="J16" s="6">
        <v>0.05999500201841564</v>
      </c>
      <c r="K16" s="6">
        <v>0.01999192633744065</v>
      </c>
      <c r="N16" s="1" t="s">
        <v>24</v>
      </c>
    </row>
    <row r="17">
      <c r="A17" s="1" t="s">
        <v>45</v>
      </c>
      <c r="B17" s="1" t="s">
        <v>35</v>
      </c>
      <c r="C17" s="6">
        <v>67665.0</v>
      </c>
      <c r="D17" s="6">
        <v>65635.0</v>
      </c>
      <c r="E17" s="6">
        <v>24284.0</v>
      </c>
      <c r="F17" s="6">
        <v>3938.0</v>
      </c>
      <c r="G17" s="6">
        <v>3281.0</v>
      </c>
      <c r="H17" s="6">
        <v>0.9699992610655435</v>
      </c>
      <c r="I17" s="6">
        <v>0.36998552601508344</v>
      </c>
      <c r="J17" s="6">
        <v>0.05999847642264036</v>
      </c>
      <c r="K17" s="6">
        <v>0.049988573169802694</v>
      </c>
      <c r="N17" s="1" t="s">
        <v>24</v>
      </c>
    </row>
    <row r="18">
      <c r="A18" s="1" t="s">
        <v>46</v>
      </c>
      <c r="B18" s="1" t="s">
        <v>35</v>
      </c>
      <c r="C18" s="6">
        <v>8420.0</v>
      </c>
      <c r="D18" s="6">
        <v>7578.0</v>
      </c>
      <c r="E18" s="6">
        <v>1439.0</v>
      </c>
      <c r="F18" s="6">
        <v>454.0</v>
      </c>
      <c r="G18" s="6">
        <v>378.0</v>
      </c>
      <c r="H18" s="6">
        <v>0.9</v>
      </c>
      <c r="I18" s="6">
        <v>0.18989179202955925</v>
      </c>
      <c r="J18" s="6">
        <v>0.059910266561097915</v>
      </c>
      <c r="K18" s="6">
        <v>0.0498812351543943</v>
      </c>
      <c r="N18" s="1" t="s">
        <v>24</v>
      </c>
    </row>
    <row r="19">
      <c r="A19" s="1" t="s">
        <v>47</v>
      </c>
      <c r="B19" s="1" t="s">
        <v>31</v>
      </c>
      <c r="C19" s="6">
        <v>42779.0</v>
      </c>
      <c r="D19" s="6">
        <v>39784.0</v>
      </c>
      <c r="E19" s="6">
        <v>4376.0</v>
      </c>
      <c r="F19" s="6">
        <v>4774.0</v>
      </c>
      <c r="G19" s="6">
        <v>1989.0</v>
      </c>
      <c r="H19" s="6">
        <v>0.9299890133009187</v>
      </c>
      <c r="I19" s="6">
        <v>0.10999396742409008</v>
      </c>
      <c r="J19" s="6">
        <v>0.11999798914136336</v>
      </c>
      <c r="K19" s="6">
        <v>0.049994972853408405</v>
      </c>
      <c r="N19" s="1" t="s">
        <v>24</v>
      </c>
    </row>
    <row r="20">
      <c r="A20" s="1" t="s">
        <v>48</v>
      </c>
      <c r="B20" s="1" t="s">
        <v>39</v>
      </c>
      <c r="C20" s="6">
        <v>160458.0</v>
      </c>
      <c r="D20" s="6">
        <v>152435.0</v>
      </c>
      <c r="E20" s="6">
        <v>33535.0</v>
      </c>
      <c r="F20" s="6">
        <v>3048.0</v>
      </c>
      <c r="G20" s="6">
        <v>1524.0</v>
      </c>
      <c r="H20" s="6">
        <v>0.949999376783956</v>
      </c>
      <c r="I20" s="6">
        <v>0.219995407878768</v>
      </c>
      <c r="J20" s="6">
        <v>0.019995407878768</v>
      </c>
      <c r="K20" s="6">
        <v>0.009997703939384</v>
      </c>
      <c r="N20" s="1" t="s">
        <v>24</v>
      </c>
    </row>
    <row r="21">
      <c r="A21" s="1" t="s">
        <v>49</v>
      </c>
      <c r="B21" s="1" t="s">
        <v>50</v>
      </c>
      <c r="C21" s="6">
        <v>143368.0</v>
      </c>
      <c r="D21" s="6">
        <v>130464.0</v>
      </c>
      <c r="E21" s="6">
        <v>26092.0</v>
      </c>
      <c r="F21" s="6">
        <v>14351.0</v>
      </c>
      <c r="G21" s="6">
        <v>3913.0</v>
      </c>
      <c r="H21" s="6">
        <v>0.909993861949668</v>
      </c>
      <c r="I21" s="6">
        <v>0.19999386804022565</v>
      </c>
      <c r="J21" s="6">
        <v>0.10999969340201128</v>
      </c>
      <c r="K21" s="6">
        <v>0.029992948246259504</v>
      </c>
      <c r="N21" s="1" t="s">
        <v>24</v>
      </c>
    </row>
    <row r="22">
      <c r="A22" s="1" t="s">
        <v>51</v>
      </c>
      <c r="B22" s="1" t="s">
        <v>23</v>
      </c>
      <c r="C22" s="6">
        <v>116783.0</v>
      </c>
      <c r="D22" s="6">
        <v>105104.0</v>
      </c>
      <c r="E22" s="6">
        <v>14714.0</v>
      </c>
      <c r="F22" s="6">
        <v>11561.0</v>
      </c>
      <c r="G22" s="6">
        <v>2102.0</v>
      </c>
      <c r="H22" s="6">
        <v>0.8999940059768973</v>
      </c>
      <c r="I22" s="6">
        <v>0.1399946719439793</v>
      </c>
      <c r="J22" s="6">
        <v>0.10999581367026945</v>
      </c>
      <c r="K22" s="6">
        <v>0.0199992388491399</v>
      </c>
      <c r="N22" s="1" t="s">
        <v>24</v>
      </c>
    </row>
    <row r="23">
      <c r="A23" s="1" t="s">
        <v>52</v>
      </c>
      <c r="B23" s="1" t="s">
        <v>26</v>
      </c>
      <c r="C23" s="6">
        <v>163873.0</v>
      </c>
      <c r="D23" s="6">
        <v>150763.0</v>
      </c>
      <c r="E23" s="6">
        <v>51259.0</v>
      </c>
      <c r="F23" s="6">
        <v>12061.0</v>
      </c>
      <c r="G23" s="6">
        <v>6030.0</v>
      </c>
      <c r="H23" s="6">
        <v>0.9199990236341558</v>
      </c>
      <c r="I23" s="6">
        <v>0.33999721417058565</v>
      </c>
      <c r="J23" s="6">
        <v>0.07999973468291291</v>
      </c>
      <c r="K23" s="6">
        <v>0.03999655087786791</v>
      </c>
      <c r="N23" s="1" t="s">
        <v>24</v>
      </c>
    </row>
    <row r="24">
      <c r="A24" s="1" t="s">
        <v>53</v>
      </c>
      <c r="B24" s="1" t="s">
        <v>54</v>
      </c>
      <c r="C24" s="6">
        <v>149248.0</v>
      </c>
      <c r="D24" s="6">
        <v>144770.0</v>
      </c>
      <c r="E24" s="6">
        <v>26058.0</v>
      </c>
      <c r="F24" s="6">
        <v>10133.0</v>
      </c>
      <c r="G24" s="6">
        <v>5790.0</v>
      </c>
      <c r="H24" s="6">
        <v>0.9699962478559176</v>
      </c>
      <c r="I24" s="6">
        <v>0.17999585549492297</v>
      </c>
      <c r="J24" s="6">
        <v>0.06999378324238448</v>
      </c>
      <c r="K24" s="6">
        <v>0.03999447399323064</v>
      </c>
      <c r="N24" s="1" t="s">
        <v>24</v>
      </c>
    </row>
    <row r="25">
      <c r="A25" s="1" t="s">
        <v>55</v>
      </c>
      <c r="B25" s="1" t="s">
        <v>26</v>
      </c>
      <c r="C25" s="6">
        <v>58756.0</v>
      </c>
      <c r="D25" s="6">
        <v>56993.0</v>
      </c>
      <c r="E25" s="6">
        <v>17667.0</v>
      </c>
      <c r="F25" s="6">
        <v>1139.0</v>
      </c>
      <c r="G25" s="6">
        <v>2279.0</v>
      </c>
      <c r="H25" s="6">
        <v>0.9699945537477024</v>
      </c>
      <c r="I25" s="6">
        <v>0.30998543680802904</v>
      </c>
      <c r="J25" s="6">
        <v>0.019984910427596373</v>
      </c>
      <c r="K25" s="6">
        <v>0.03998736686961556</v>
      </c>
      <c r="N25" s="1" t="s">
        <v>24</v>
      </c>
    </row>
    <row r="26">
      <c r="A26" s="1" t="s">
        <v>56</v>
      </c>
      <c r="B26" s="1" t="s">
        <v>35</v>
      </c>
      <c r="C26" s="6">
        <v>132408.0</v>
      </c>
      <c r="D26" s="6">
        <v>127111.0</v>
      </c>
      <c r="E26" s="6">
        <v>45759.0</v>
      </c>
      <c r="F26" s="6">
        <v>12711.0</v>
      </c>
      <c r="G26" s="6">
        <v>3813.0</v>
      </c>
      <c r="H26" s="6">
        <v>0.959994864358649</v>
      </c>
      <c r="I26" s="6">
        <v>0.35999244754584575</v>
      </c>
      <c r="J26" s="6">
        <v>0.0999992132860256</v>
      </c>
      <c r="K26" s="6">
        <v>0.02999740384388448</v>
      </c>
      <c r="N26" s="1" t="s">
        <v>24</v>
      </c>
    </row>
    <row r="27">
      <c r="A27" s="1" t="s">
        <v>57</v>
      </c>
      <c r="B27" s="1" t="s">
        <v>35</v>
      </c>
      <c r="C27" s="6">
        <v>136794.0</v>
      </c>
      <c r="D27" s="6">
        <v>131322.0</v>
      </c>
      <c r="E27" s="6">
        <v>22324.0</v>
      </c>
      <c r="F27" s="6">
        <v>17071.0</v>
      </c>
      <c r="G27" s="6">
        <v>3939.0</v>
      </c>
      <c r="H27" s="6">
        <v>0.9599982455370849</v>
      </c>
      <c r="I27" s="6">
        <v>0.16999436499596413</v>
      </c>
      <c r="J27" s="6">
        <v>0.12999345121152586</v>
      </c>
      <c r="K27" s="6">
        <v>0.02999497418558962</v>
      </c>
      <c r="N27" s="1" t="s">
        <v>24</v>
      </c>
    </row>
    <row r="28">
      <c r="A28" s="1" t="s">
        <v>58</v>
      </c>
      <c r="B28" s="1" t="s">
        <v>35</v>
      </c>
      <c r="C28" s="6">
        <v>16950.0</v>
      </c>
      <c r="D28" s="6">
        <v>16272.0</v>
      </c>
      <c r="E28" s="6">
        <v>3905.0</v>
      </c>
      <c r="F28" s="6">
        <v>1301.0</v>
      </c>
      <c r="G28" s="6">
        <v>650.0</v>
      </c>
      <c r="H28" s="6">
        <v>0.96</v>
      </c>
      <c r="I28" s="6">
        <v>0.23998279252704033</v>
      </c>
      <c r="J28" s="6">
        <v>0.07995329400196657</v>
      </c>
      <c r="K28" s="6">
        <v>0.03994591937069813</v>
      </c>
      <c r="N28" s="1" t="s">
        <v>24</v>
      </c>
    </row>
    <row r="29">
      <c r="A29" s="1" t="s">
        <v>59</v>
      </c>
      <c r="B29" s="1" t="s">
        <v>39</v>
      </c>
      <c r="C29" s="6">
        <v>131321.0</v>
      </c>
      <c r="D29" s="6">
        <v>128694.0</v>
      </c>
      <c r="E29" s="6">
        <v>48903.0</v>
      </c>
      <c r="F29" s="6">
        <v>16730.0</v>
      </c>
      <c r="G29" s="6">
        <v>1286.0</v>
      </c>
      <c r="H29" s="6">
        <v>0.9799955833415829</v>
      </c>
      <c r="I29" s="6">
        <v>0.379994405333582</v>
      </c>
      <c r="J29" s="6">
        <v>0.1299982905185945</v>
      </c>
      <c r="K29" s="6">
        <v>0.00999269585217648</v>
      </c>
      <c r="N29" s="1" t="s">
        <v>24</v>
      </c>
    </row>
    <row r="30">
      <c r="A30" s="1" t="s">
        <v>60</v>
      </c>
      <c r="B30" s="1" t="s">
        <v>23</v>
      </c>
      <c r="C30" s="6">
        <v>156149.0</v>
      </c>
      <c r="D30" s="6">
        <v>154587.0</v>
      </c>
      <c r="E30" s="6">
        <v>46376.0</v>
      </c>
      <c r="F30" s="6">
        <v>9275.0</v>
      </c>
      <c r="G30" s="6">
        <v>3091.0</v>
      </c>
      <c r="H30" s="6">
        <v>0.9899967338887857</v>
      </c>
      <c r="I30" s="6">
        <v>0.29999935311507436</v>
      </c>
      <c r="J30" s="6">
        <v>0.05999857685316359</v>
      </c>
      <c r="K30" s="6">
        <v>0.01999521305155026</v>
      </c>
      <c r="N30" s="1" t="s">
        <v>24</v>
      </c>
    </row>
    <row r="31">
      <c r="A31" s="1" t="s">
        <v>61</v>
      </c>
      <c r="B31" s="1" t="s">
        <v>50</v>
      </c>
      <c r="C31" s="6">
        <v>40083.0</v>
      </c>
      <c r="D31" s="6">
        <v>36876.0</v>
      </c>
      <c r="E31" s="6">
        <v>5900.0</v>
      </c>
      <c r="F31" s="6">
        <v>737.0</v>
      </c>
      <c r="G31" s="6">
        <v>737.0</v>
      </c>
      <c r="H31" s="6">
        <v>0.9199910186363296</v>
      </c>
      <c r="I31" s="6">
        <v>0.1599956611346133</v>
      </c>
      <c r="J31" s="6">
        <v>0.01998589868749322</v>
      </c>
      <c r="K31" s="6">
        <v>0.01998589868749322</v>
      </c>
      <c r="N31" s="1" t="s">
        <v>24</v>
      </c>
    </row>
    <row r="32">
      <c r="A32" s="1" t="s">
        <v>62</v>
      </c>
      <c r="B32" s="1" t="s">
        <v>31</v>
      </c>
      <c r="C32" s="6">
        <v>42044.0</v>
      </c>
      <c r="D32" s="6">
        <v>39941.0</v>
      </c>
      <c r="E32" s="6">
        <v>5991.0</v>
      </c>
      <c r="F32" s="6">
        <v>5591.0</v>
      </c>
      <c r="G32" s="6">
        <v>1198.0</v>
      </c>
      <c r="H32" s="6">
        <v>0.9499809723147179</v>
      </c>
      <c r="I32" s="6">
        <v>0.14999624446057935</v>
      </c>
      <c r="J32" s="6">
        <v>0.1399814726721915</v>
      </c>
      <c r="K32" s="6">
        <v>0.029994241506221677</v>
      </c>
      <c r="N32" s="1" t="s">
        <v>24</v>
      </c>
    </row>
    <row r="33">
      <c r="A33" s="1" t="s">
        <v>63</v>
      </c>
      <c r="B33" s="1" t="s">
        <v>35</v>
      </c>
      <c r="C33" s="6">
        <v>24322.0</v>
      </c>
      <c r="D33" s="6">
        <v>23592.0</v>
      </c>
      <c r="E33" s="6">
        <v>6369.0</v>
      </c>
      <c r="F33" s="6">
        <v>2123.0</v>
      </c>
      <c r="G33" s="6">
        <v>235.0</v>
      </c>
      <c r="H33" s="6">
        <v>0.9699860208864403</v>
      </c>
      <c r="I33" s="6">
        <v>0.2699643947100712</v>
      </c>
      <c r="J33" s="6">
        <v>0.08998813157002374</v>
      </c>
      <c r="K33" s="6">
        <v>0.009961003730077992</v>
      </c>
      <c r="N33" s="1" t="s">
        <v>24</v>
      </c>
    </row>
    <row r="34">
      <c r="A34" s="1" t="s">
        <v>64</v>
      </c>
      <c r="B34" s="1" t="s">
        <v>29</v>
      </c>
      <c r="C34" s="6">
        <v>51977.0</v>
      </c>
      <c r="D34" s="6">
        <v>50937.0</v>
      </c>
      <c r="E34" s="6">
        <v>10696.0</v>
      </c>
      <c r="F34" s="6">
        <v>5603.0</v>
      </c>
      <c r="G34" s="6">
        <v>2546.0</v>
      </c>
      <c r="H34" s="6">
        <v>0.9799911499317006</v>
      </c>
      <c r="I34" s="6">
        <v>0.20998488328719792</v>
      </c>
      <c r="J34" s="6">
        <v>0.10999862575338162</v>
      </c>
      <c r="K34" s="6">
        <v>0.049983312719634056</v>
      </c>
      <c r="N34" s="1" t="s">
        <v>24</v>
      </c>
    </row>
    <row r="35">
      <c r="A35" s="1" t="s">
        <v>65</v>
      </c>
      <c r="B35" s="1" t="s">
        <v>39</v>
      </c>
      <c r="C35" s="6">
        <v>27317.0</v>
      </c>
      <c r="D35" s="6">
        <v>24585.0</v>
      </c>
      <c r="E35" s="6">
        <v>4425.0</v>
      </c>
      <c r="F35" s="6">
        <v>2212.0</v>
      </c>
      <c r="G35" s="6">
        <v>737.0</v>
      </c>
      <c r="H35" s="6">
        <v>0.8999890178277263</v>
      </c>
      <c r="I35" s="6">
        <v>0.17998779743746188</v>
      </c>
      <c r="J35" s="6">
        <v>0.08997356111450071</v>
      </c>
      <c r="K35" s="6">
        <v>0.029977628635346757</v>
      </c>
      <c r="N35" s="1" t="s">
        <v>24</v>
      </c>
    </row>
    <row r="36">
      <c r="A36" s="1" t="s">
        <v>66</v>
      </c>
      <c r="B36" s="1" t="s">
        <v>29</v>
      </c>
      <c r="C36" s="6">
        <v>148724.0</v>
      </c>
      <c r="D36" s="6">
        <v>147236.0</v>
      </c>
      <c r="E36" s="6">
        <v>50060.0</v>
      </c>
      <c r="F36" s="6">
        <v>13251.0</v>
      </c>
      <c r="G36" s="6">
        <v>1472.0</v>
      </c>
      <c r="H36" s="6">
        <v>0.9899948898631021</v>
      </c>
      <c r="I36" s="6">
        <v>0.3399983699638675</v>
      </c>
      <c r="J36" s="6">
        <v>0.08999836996386754</v>
      </c>
      <c r="K36" s="6">
        <v>0.009997554945801299</v>
      </c>
      <c r="N36" s="1" t="s">
        <v>24</v>
      </c>
    </row>
    <row r="37">
      <c r="A37" s="1" t="s">
        <v>67</v>
      </c>
      <c r="B37" s="1" t="s">
        <v>39</v>
      </c>
      <c r="C37" s="6">
        <v>155532.0</v>
      </c>
      <c r="D37" s="6">
        <v>153976.0</v>
      </c>
      <c r="E37" s="6">
        <v>50812.0</v>
      </c>
      <c r="F37" s="6">
        <v>23096.0</v>
      </c>
      <c r="G37" s="6">
        <v>3079.0</v>
      </c>
      <c r="H37" s="6">
        <v>0.9899956279093691</v>
      </c>
      <c r="I37" s="6">
        <v>0.3299994804385099</v>
      </c>
      <c r="J37" s="6">
        <v>0.14999740219254948</v>
      </c>
      <c r="K37" s="6">
        <v>0.019996622850314335</v>
      </c>
      <c r="N37" s="1" t="s">
        <v>24</v>
      </c>
    </row>
    <row r="38">
      <c r="A38" s="1" t="s">
        <v>68</v>
      </c>
      <c r="B38" s="1" t="s">
        <v>23</v>
      </c>
      <c r="C38" s="6">
        <v>85978.0</v>
      </c>
      <c r="D38" s="6">
        <v>85118.0</v>
      </c>
      <c r="E38" s="6">
        <v>12767.0</v>
      </c>
      <c r="F38" s="6">
        <v>5107.0</v>
      </c>
      <c r="G38" s="6">
        <v>2553.0</v>
      </c>
      <c r="H38" s="6">
        <v>0.9899974412058898</v>
      </c>
      <c r="I38" s="6">
        <v>0.14999177612255926</v>
      </c>
      <c r="J38" s="6">
        <v>0.05999906012829249</v>
      </c>
      <c r="K38" s="6">
        <v>0.029993655865974293</v>
      </c>
      <c r="N38" s="1" t="s">
        <v>24</v>
      </c>
    </row>
    <row r="39">
      <c r="A39" s="1" t="s">
        <v>69</v>
      </c>
      <c r="B39" s="1" t="s">
        <v>29</v>
      </c>
      <c r="C39" s="6">
        <v>139631.0</v>
      </c>
      <c r="D39" s="6">
        <v>128460.0</v>
      </c>
      <c r="E39" s="6">
        <v>23122.0</v>
      </c>
      <c r="F39" s="6">
        <v>3853.0</v>
      </c>
      <c r="G39" s="6">
        <v>2569.0</v>
      </c>
      <c r="H39" s="6">
        <v>0.9199962758986185</v>
      </c>
      <c r="I39" s="6">
        <v>0.17999377238050754</v>
      </c>
      <c r="J39" s="6">
        <v>0.02999377238050755</v>
      </c>
      <c r="K39" s="6">
        <v>0.019998443095126887</v>
      </c>
      <c r="N39" s="1" t="s">
        <v>24</v>
      </c>
    </row>
    <row r="40">
      <c r="A40" s="1" t="s">
        <v>70</v>
      </c>
      <c r="B40" s="1" t="s">
        <v>39</v>
      </c>
      <c r="C40" s="6">
        <v>6482.0</v>
      </c>
      <c r="D40" s="6">
        <v>6417.0</v>
      </c>
      <c r="E40" s="6">
        <v>770.0</v>
      </c>
      <c r="F40" s="6">
        <v>128.0</v>
      </c>
      <c r="G40" s="6">
        <v>320.0</v>
      </c>
      <c r="H40" s="6">
        <v>0.9899722307929651</v>
      </c>
      <c r="I40" s="6">
        <v>0.11999376655758143</v>
      </c>
      <c r="J40" s="6">
        <v>0.019947015739442107</v>
      </c>
      <c r="K40" s="6">
        <v>0.049867539348605265</v>
      </c>
      <c r="N40" s="1" t="s">
        <v>24</v>
      </c>
    </row>
    <row r="41">
      <c r="A41" s="1" t="s">
        <v>71</v>
      </c>
      <c r="B41" s="1" t="s">
        <v>35</v>
      </c>
      <c r="C41" s="6">
        <v>139712.0</v>
      </c>
      <c r="D41" s="6">
        <v>132726.0</v>
      </c>
      <c r="E41" s="6">
        <v>47781.0</v>
      </c>
      <c r="F41" s="6">
        <v>3981.0</v>
      </c>
      <c r="G41" s="6">
        <v>2654.0</v>
      </c>
      <c r="H41" s="6">
        <v>0.9499971369674759</v>
      </c>
      <c r="I41" s="6">
        <v>0.359997287645224</v>
      </c>
      <c r="J41" s="6">
        <v>0.029994123231318656</v>
      </c>
      <c r="K41" s="6">
        <v>0.019996082154212436</v>
      </c>
      <c r="N41" s="1" t="s">
        <v>24</v>
      </c>
    </row>
    <row r="42">
      <c r="A42" s="1" t="s">
        <v>72</v>
      </c>
      <c r="B42" s="1" t="s">
        <v>31</v>
      </c>
      <c r="C42" s="6">
        <v>19874.0</v>
      </c>
      <c r="D42" s="6">
        <v>19079.0</v>
      </c>
      <c r="E42" s="6">
        <v>5151.0</v>
      </c>
      <c r="F42" s="6">
        <v>381.0</v>
      </c>
      <c r="G42" s="6">
        <v>381.0</v>
      </c>
      <c r="H42" s="6">
        <v>0.9599979873201168</v>
      </c>
      <c r="I42" s="6">
        <v>0.26998270349599035</v>
      </c>
      <c r="J42" s="6">
        <v>0.019969600083861838</v>
      </c>
      <c r="K42" s="6">
        <v>0.019969600083861838</v>
      </c>
      <c r="N42" s="1" t="s">
        <v>24</v>
      </c>
    </row>
    <row r="43">
      <c r="A43" s="1" t="s">
        <v>73</v>
      </c>
      <c r="B43" s="1" t="s">
        <v>31</v>
      </c>
      <c r="C43" s="6">
        <v>29255.0</v>
      </c>
      <c r="D43" s="6">
        <v>27499.0</v>
      </c>
      <c r="E43" s="6">
        <v>2749.0</v>
      </c>
      <c r="F43" s="6">
        <v>3574.0</v>
      </c>
      <c r="G43" s="6">
        <v>1099.0</v>
      </c>
      <c r="H43" s="6">
        <v>0.939976072466245</v>
      </c>
      <c r="I43" s="6">
        <v>0.09996727153714681</v>
      </c>
      <c r="J43" s="6">
        <v>0.12996836248590857</v>
      </c>
      <c r="K43" s="6">
        <v>0.03996508963962326</v>
      </c>
      <c r="N43" s="1" t="s">
        <v>24</v>
      </c>
    </row>
    <row r="44">
      <c r="A44" s="1" t="s">
        <v>74</v>
      </c>
      <c r="B44" s="1" t="s">
        <v>26</v>
      </c>
      <c r="C44" s="6">
        <v>105338.0</v>
      </c>
      <c r="D44" s="6">
        <v>102177.0</v>
      </c>
      <c r="E44" s="6">
        <v>20435.0</v>
      </c>
      <c r="F44" s="6">
        <v>15326.0</v>
      </c>
      <c r="G44" s="6">
        <v>1021.0</v>
      </c>
      <c r="H44" s="6">
        <v>0.9699918358047428</v>
      </c>
      <c r="I44" s="6">
        <v>0.19999608522465917</v>
      </c>
      <c r="J44" s="6">
        <v>0.14999461718390636</v>
      </c>
      <c r="K44" s="6">
        <v>0.009992464057468902</v>
      </c>
      <c r="N44" s="1" t="s">
        <v>24</v>
      </c>
    </row>
    <row r="45">
      <c r="A45" s="1" t="s">
        <v>75</v>
      </c>
      <c r="B45" s="1" t="s">
        <v>26</v>
      </c>
      <c r="C45" s="6">
        <v>61341.0</v>
      </c>
      <c r="D45" s="6">
        <v>57660.0</v>
      </c>
      <c r="E45" s="6">
        <v>13838.0</v>
      </c>
      <c r="F45" s="6">
        <v>4036.0</v>
      </c>
      <c r="G45" s="6">
        <v>1729.0</v>
      </c>
      <c r="H45" s="6">
        <v>0.9399911967525798</v>
      </c>
      <c r="I45" s="6">
        <v>0.2399930627818245</v>
      </c>
      <c r="J45" s="6">
        <v>0.06999653139091225</v>
      </c>
      <c r="K45" s="6">
        <v>0.029986125563648977</v>
      </c>
      <c r="N45" s="1" t="s">
        <v>24</v>
      </c>
    </row>
    <row r="46">
      <c r="A46" s="1" t="s">
        <v>76</v>
      </c>
      <c r="B46" s="1" t="s">
        <v>35</v>
      </c>
      <c r="C46" s="6">
        <v>102597.0</v>
      </c>
      <c r="D46" s="6">
        <v>97467.0</v>
      </c>
      <c r="E46" s="6">
        <v>19493.0</v>
      </c>
      <c r="F46" s="6">
        <v>3898.0</v>
      </c>
      <c r="G46" s="6">
        <v>1949.0</v>
      </c>
      <c r="H46" s="6">
        <v>0.9499985379689465</v>
      </c>
      <c r="I46" s="6">
        <v>0.19999589604686716</v>
      </c>
      <c r="J46" s="6">
        <v>0.03999302327967415</v>
      </c>
      <c r="K46" s="6">
        <v>0.019996511639837074</v>
      </c>
      <c r="N46" s="1" t="s">
        <v>24</v>
      </c>
    </row>
    <row r="47">
      <c r="A47" s="1" t="s">
        <v>77</v>
      </c>
      <c r="B47" s="1" t="s">
        <v>23</v>
      </c>
      <c r="C47" s="6">
        <v>20085.0</v>
      </c>
      <c r="D47" s="6">
        <v>19281.0</v>
      </c>
      <c r="E47" s="6">
        <v>1928.0</v>
      </c>
      <c r="F47" s="6">
        <v>385.0</v>
      </c>
      <c r="G47" s="6">
        <v>578.0</v>
      </c>
      <c r="H47" s="6">
        <v>0.9599701269604182</v>
      </c>
      <c r="I47" s="6">
        <v>0.0999948135470152</v>
      </c>
      <c r="J47" s="6">
        <v>0.019967843991494216</v>
      </c>
      <c r="K47" s="6">
        <v>0.029977698252165345</v>
      </c>
      <c r="N47" s="1" t="s">
        <v>24</v>
      </c>
    </row>
    <row r="48">
      <c r="A48" s="1" t="s">
        <v>78</v>
      </c>
      <c r="B48" s="1" t="s">
        <v>29</v>
      </c>
      <c r="C48" s="6">
        <v>160432.0</v>
      </c>
      <c r="D48" s="6">
        <v>157223.0</v>
      </c>
      <c r="E48" s="6">
        <v>48739.0</v>
      </c>
      <c r="F48" s="6">
        <v>17294.0</v>
      </c>
      <c r="G48" s="6">
        <v>6288.0</v>
      </c>
      <c r="H48" s="6">
        <v>0.9799977560586417</v>
      </c>
      <c r="I48" s="6">
        <v>0.30999917314896674</v>
      </c>
      <c r="J48" s="6">
        <v>0.10999662899194139</v>
      </c>
      <c r="K48" s="6">
        <v>0.039994148438841644</v>
      </c>
      <c r="N48" s="1" t="s">
        <v>24</v>
      </c>
    </row>
    <row r="49">
      <c r="A49" s="1" t="s">
        <v>79</v>
      </c>
      <c r="B49" s="1" t="s">
        <v>23</v>
      </c>
      <c r="C49" s="6">
        <v>159662.0</v>
      </c>
      <c r="D49" s="6">
        <v>154872.0</v>
      </c>
      <c r="E49" s="6">
        <v>23230.0</v>
      </c>
      <c r="F49" s="6">
        <v>20133.0</v>
      </c>
      <c r="G49" s="6">
        <v>6194.0</v>
      </c>
      <c r="H49" s="6">
        <v>0.9699991231476494</v>
      </c>
      <c r="I49" s="6">
        <v>0.1499948344439279</v>
      </c>
      <c r="J49" s="6">
        <v>0.12999767549976754</v>
      </c>
      <c r="K49" s="6">
        <v>0.039994317888320675</v>
      </c>
      <c r="N49" s="1" t="s">
        <v>24</v>
      </c>
    </row>
    <row r="50">
      <c r="A50" s="1" t="s">
        <v>80</v>
      </c>
      <c r="B50" s="1" t="s">
        <v>26</v>
      </c>
      <c r="C50" s="6">
        <v>52003.0</v>
      </c>
      <c r="D50" s="6">
        <v>49922.0</v>
      </c>
      <c r="E50" s="6">
        <v>10982.0</v>
      </c>
      <c r="F50" s="6">
        <v>5491.0</v>
      </c>
      <c r="G50" s="6">
        <v>1497.0</v>
      </c>
      <c r="H50" s="6">
        <v>0.959983077899352</v>
      </c>
      <c r="I50" s="6">
        <v>0.21998317375105164</v>
      </c>
      <c r="J50" s="6">
        <v>0.10999158687552582</v>
      </c>
      <c r="K50" s="6">
        <v>0.02998677937582629</v>
      </c>
      <c r="N50" s="1" t="s">
        <v>24</v>
      </c>
    </row>
    <row r="51">
      <c r="A51" s="1" t="s">
        <v>81</v>
      </c>
      <c r="B51" s="1" t="s">
        <v>41</v>
      </c>
      <c r="C51" s="6">
        <v>40697.0</v>
      </c>
      <c r="D51" s="6">
        <v>39069.0</v>
      </c>
      <c r="E51" s="6">
        <v>5469.0</v>
      </c>
      <c r="F51" s="6">
        <v>5469.0</v>
      </c>
      <c r="G51" s="6">
        <v>1562.0</v>
      </c>
      <c r="H51" s="6">
        <v>0.9599970513797086</v>
      </c>
      <c r="I51" s="6">
        <v>0.13998310681102666</v>
      </c>
      <c r="J51" s="6">
        <v>0.13998310681102666</v>
      </c>
      <c r="K51" s="6">
        <v>0.03998054723693977</v>
      </c>
      <c r="N51" s="1" t="s">
        <v>24</v>
      </c>
    </row>
    <row r="52">
      <c r="A52" s="1" t="s">
        <v>82</v>
      </c>
      <c r="B52" s="1" t="s">
        <v>23</v>
      </c>
      <c r="C52" s="6">
        <v>165333.0</v>
      </c>
      <c r="D52" s="6">
        <v>152106.0</v>
      </c>
      <c r="E52" s="6">
        <v>34984.0</v>
      </c>
      <c r="F52" s="6">
        <v>3042.0</v>
      </c>
      <c r="G52" s="6">
        <v>4563.0</v>
      </c>
      <c r="H52" s="6">
        <v>0.9199978225762552</v>
      </c>
      <c r="I52" s="6">
        <v>0.2299975017422061</v>
      </c>
      <c r="J52" s="6">
        <v>0.019999211076486136</v>
      </c>
      <c r="K52" s="6">
        <v>0.029998816614729203</v>
      </c>
      <c r="N52" s="1" t="s">
        <v>24</v>
      </c>
    </row>
    <row r="53">
      <c r="A53" s="1" t="s">
        <v>83</v>
      </c>
      <c r="B53" s="1" t="s">
        <v>31</v>
      </c>
      <c r="C53" s="6">
        <v>97716.0</v>
      </c>
      <c r="D53" s="6">
        <v>89898.0</v>
      </c>
      <c r="E53" s="6">
        <v>31464.0</v>
      </c>
      <c r="F53" s="6">
        <v>9888.0</v>
      </c>
      <c r="G53" s="6">
        <v>3595.0</v>
      </c>
      <c r="H53" s="6">
        <v>0.9199926317082157</v>
      </c>
      <c r="I53" s="6">
        <v>0.34999666288460257</v>
      </c>
      <c r="J53" s="6">
        <v>0.10999132349996663</v>
      </c>
      <c r="K53" s="6">
        <v>0.03998976617944782</v>
      </c>
      <c r="N53" s="1" t="s">
        <v>24</v>
      </c>
    </row>
    <row r="54">
      <c r="A54" s="1" t="s">
        <v>84</v>
      </c>
      <c r="B54" s="1" t="s">
        <v>23</v>
      </c>
      <c r="C54" s="6">
        <v>117700.0</v>
      </c>
      <c r="D54" s="6">
        <v>108284.0</v>
      </c>
      <c r="E54" s="6">
        <v>36816.0</v>
      </c>
      <c r="F54" s="6">
        <v>4331.0</v>
      </c>
      <c r="G54" s="6">
        <v>2165.0</v>
      </c>
      <c r="H54" s="6">
        <v>0.92</v>
      </c>
      <c r="I54" s="6">
        <v>0.33999482841417017</v>
      </c>
      <c r="J54" s="6">
        <v>0.03999667540910938</v>
      </c>
      <c r="K54" s="6">
        <v>0.019993720217206606</v>
      </c>
      <c r="N54" s="1" t="s">
        <v>24</v>
      </c>
    </row>
    <row r="55">
      <c r="A55" s="1" t="s">
        <v>85</v>
      </c>
      <c r="B55" s="1" t="s">
        <v>26</v>
      </c>
      <c r="C55" s="6">
        <v>166147.0</v>
      </c>
      <c r="D55" s="6">
        <v>152855.0</v>
      </c>
      <c r="E55" s="6">
        <v>32099.0</v>
      </c>
      <c r="F55" s="6">
        <v>13756.0</v>
      </c>
      <c r="G55" s="6">
        <v>3057.0</v>
      </c>
      <c r="H55" s="6">
        <v>0.9199985554960366</v>
      </c>
      <c r="I55" s="6">
        <v>0.2099964018187171</v>
      </c>
      <c r="J55" s="6">
        <v>0.08999378495960224</v>
      </c>
      <c r="K55" s="6">
        <v>0.01999934578522129</v>
      </c>
      <c r="N55" s="1" t="s">
        <v>24</v>
      </c>
    </row>
    <row r="56">
      <c r="A56" s="1" t="s">
        <v>86</v>
      </c>
      <c r="B56" s="1" t="s">
        <v>54</v>
      </c>
      <c r="C56" s="6">
        <v>151598.0</v>
      </c>
      <c r="D56" s="6">
        <v>137954.0</v>
      </c>
      <c r="E56" s="6">
        <v>19313.0</v>
      </c>
      <c r="F56" s="6">
        <v>19313.0</v>
      </c>
      <c r="G56" s="6">
        <v>1379.0</v>
      </c>
      <c r="H56" s="6">
        <v>0.9099988126492434</v>
      </c>
      <c r="I56" s="6">
        <v>0.13999594067587748</v>
      </c>
      <c r="J56" s="6">
        <v>0.13999594067587748</v>
      </c>
      <c r="K56" s="6">
        <v>0.009996085651738986</v>
      </c>
      <c r="N56" s="1" t="s">
        <v>24</v>
      </c>
    </row>
    <row r="57">
      <c r="A57" s="1" t="s">
        <v>87</v>
      </c>
      <c r="B57" s="1" t="s">
        <v>54</v>
      </c>
      <c r="C57" s="6">
        <v>85438.0</v>
      </c>
      <c r="D57" s="6">
        <v>82874.0</v>
      </c>
      <c r="E57" s="6">
        <v>33149.0</v>
      </c>
      <c r="F57" s="6">
        <v>12431.0</v>
      </c>
      <c r="G57" s="6">
        <v>2486.0</v>
      </c>
      <c r="H57" s="6">
        <v>0.9699899342213066</v>
      </c>
      <c r="I57" s="6">
        <v>0.3999927600936361</v>
      </c>
      <c r="J57" s="6">
        <v>0.14999879334893934</v>
      </c>
      <c r="K57" s="6">
        <v>0.02999734536766658</v>
      </c>
      <c r="N57" s="1" t="s">
        <v>24</v>
      </c>
    </row>
    <row r="58">
      <c r="A58" s="1" t="s">
        <v>88</v>
      </c>
      <c r="B58" s="1" t="s">
        <v>54</v>
      </c>
      <c r="C58" s="6">
        <v>149824.0</v>
      </c>
      <c r="D58" s="6">
        <v>143831.0</v>
      </c>
      <c r="E58" s="6">
        <v>35957.0</v>
      </c>
      <c r="F58" s="6">
        <v>10068.0</v>
      </c>
      <c r="G58" s="6">
        <v>1438.0</v>
      </c>
      <c r="H58" s="6">
        <v>0.9599997330200769</v>
      </c>
      <c r="I58" s="6">
        <v>0.2499947855469266</v>
      </c>
      <c r="J58" s="6">
        <v>0.06999881805730336</v>
      </c>
      <c r="K58" s="6">
        <v>0.009997844692729662</v>
      </c>
      <c r="N58" s="1" t="s">
        <v>24</v>
      </c>
    </row>
    <row r="59">
      <c r="A59" s="1" t="s">
        <v>89</v>
      </c>
      <c r="B59" s="1" t="s">
        <v>26</v>
      </c>
      <c r="C59" s="6">
        <v>57127.0</v>
      </c>
      <c r="D59" s="6">
        <v>55984.0</v>
      </c>
      <c r="E59" s="6">
        <v>7277.0</v>
      </c>
      <c r="F59" s="6">
        <v>5038.0</v>
      </c>
      <c r="G59" s="6">
        <v>2239.0</v>
      </c>
      <c r="H59" s="6">
        <v>0.9799919477655049</v>
      </c>
      <c r="I59" s="6">
        <v>0.12998356673335237</v>
      </c>
      <c r="J59" s="6">
        <v>0.08998999714204059</v>
      </c>
      <c r="K59" s="6">
        <v>0.039993569591311805</v>
      </c>
      <c r="N59" s="1" t="s">
        <v>24</v>
      </c>
    </row>
    <row r="60">
      <c r="A60" s="1" t="s">
        <v>90</v>
      </c>
      <c r="B60" s="1" t="s">
        <v>39</v>
      </c>
      <c r="C60" s="6">
        <v>58079.0</v>
      </c>
      <c r="D60" s="6">
        <v>53432.0</v>
      </c>
      <c r="E60" s="6">
        <v>9617.0</v>
      </c>
      <c r="F60" s="6">
        <v>3205.0</v>
      </c>
      <c r="G60" s="6">
        <v>2671.0</v>
      </c>
      <c r="H60" s="6">
        <v>0.919988291809432</v>
      </c>
      <c r="I60" s="6">
        <v>0.17998577631381943</v>
      </c>
      <c r="J60" s="6">
        <v>0.05998278185357089</v>
      </c>
      <c r="K60" s="6">
        <v>0.04998877077406797</v>
      </c>
      <c r="N60" s="1" t="s">
        <v>24</v>
      </c>
    </row>
    <row r="61">
      <c r="A61" s="1" t="s">
        <v>91</v>
      </c>
      <c r="B61" s="1" t="s">
        <v>39</v>
      </c>
      <c r="C61" s="6">
        <v>94241.0</v>
      </c>
      <c r="D61" s="6">
        <v>85759.0</v>
      </c>
      <c r="E61" s="6">
        <v>28300.0</v>
      </c>
      <c r="F61" s="6">
        <v>9433.0</v>
      </c>
      <c r="G61" s="6">
        <v>3430.0</v>
      </c>
      <c r="H61" s="6">
        <v>0.9099967105612207</v>
      </c>
      <c r="I61" s="6">
        <v>0.32999451952564746</v>
      </c>
      <c r="J61" s="6">
        <v>0.10999428631397287</v>
      </c>
      <c r="K61" s="6">
        <v>0.03999580218985763</v>
      </c>
      <c r="N61" s="1" t="s">
        <v>24</v>
      </c>
    </row>
    <row r="62">
      <c r="A62" s="1" t="s">
        <v>92</v>
      </c>
      <c r="B62" s="1" t="s">
        <v>35</v>
      </c>
      <c r="C62" s="6">
        <v>112765.0</v>
      </c>
      <c r="D62" s="6">
        <v>108254.0</v>
      </c>
      <c r="E62" s="6">
        <v>22733.0</v>
      </c>
      <c r="F62" s="6">
        <v>8660.0</v>
      </c>
      <c r="G62" s="6">
        <v>4330.0</v>
      </c>
      <c r="H62" s="6">
        <v>0.959996452800071</v>
      </c>
      <c r="I62" s="6">
        <v>0.2099968592384577</v>
      </c>
      <c r="J62" s="6">
        <v>0.07999704398913667</v>
      </c>
      <c r="K62" s="6">
        <v>0.03999852199456833</v>
      </c>
      <c r="N62" s="1" t="s">
        <v>24</v>
      </c>
    </row>
    <row r="63">
      <c r="A63" s="1" t="s">
        <v>93</v>
      </c>
      <c r="B63" s="1" t="s">
        <v>26</v>
      </c>
      <c r="C63" s="6">
        <v>63743.0</v>
      </c>
      <c r="D63" s="6">
        <v>61193.0</v>
      </c>
      <c r="E63" s="6">
        <v>20805.0</v>
      </c>
      <c r="F63" s="6">
        <v>1223.0</v>
      </c>
      <c r="G63" s="6">
        <v>1835.0</v>
      </c>
      <c r="H63" s="6">
        <v>0.9599956073608082</v>
      </c>
      <c r="I63" s="6">
        <v>0.33998986812217086</v>
      </c>
      <c r="J63" s="6">
        <v>0.019985946104946643</v>
      </c>
      <c r="K63" s="6">
        <v>0.029987090026637034</v>
      </c>
      <c r="N63" s="1" t="s">
        <v>24</v>
      </c>
    </row>
    <row r="64">
      <c r="A64" s="1" t="s">
        <v>94</v>
      </c>
      <c r="B64" s="1" t="s">
        <v>23</v>
      </c>
      <c r="C64" s="6">
        <v>111996.0</v>
      </c>
      <c r="D64" s="6">
        <v>106396.0</v>
      </c>
      <c r="E64" s="6">
        <v>32982.0</v>
      </c>
      <c r="F64" s="6">
        <v>10639.0</v>
      </c>
      <c r="G64" s="6">
        <v>5319.0</v>
      </c>
      <c r="H64" s="6">
        <v>0.9499982142219365</v>
      </c>
      <c r="I64" s="6">
        <v>0.3099928568743186</v>
      </c>
      <c r="J64" s="6">
        <v>0.09999436069025151</v>
      </c>
      <c r="K64" s="6">
        <v>0.04999248092033535</v>
      </c>
      <c r="N64" s="1" t="s">
        <v>24</v>
      </c>
    </row>
    <row r="65">
      <c r="A65" s="1" t="s">
        <v>95</v>
      </c>
      <c r="B65" s="1" t="s">
        <v>41</v>
      </c>
      <c r="C65" s="6">
        <v>36795.0</v>
      </c>
      <c r="D65" s="6">
        <v>36427.0</v>
      </c>
      <c r="E65" s="6">
        <v>3642.0</v>
      </c>
      <c r="F65" s="6">
        <v>1457.0</v>
      </c>
      <c r="G65" s="6">
        <v>1092.0</v>
      </c>
      <c r="H65" s="6">
        <v>0.9899986411197174</v>
      </c>
      <c r="I65" s="6">
        <v>0.09998078348477778</v>
      </c>
      <c r="J65" s="6">
        <v>0.03999780382683175</v>
      </c>
      <c r="K65" s="6">
        <v>0.029977763746671424</v>
      </c>
      <c r="N65" s="1" t="s">
        <v>24</v>
      </c>
    </row>
    <row r="66">
      <c r="A66" s="1" t="s">
        <v>96</v>
      </c>
      <c r="B66" s="1" t="s">
        <v>23</v>
      </c>
      <c r="C66" s="6">
        <v>132099.0</v>
      </c>
      <c r="D66" s="6">
        <v>126815.0</v>
      </c>
      <c r="E66" s="6">
        <v>13949.0</v>
      </c>
      <c r="F66" s="6">
        <v>8877.0</v>
      </c>
      <c r="G66" s="6">
        <v>1268.0</v>
      </c>
      <c r="H66" s="6">
        <v>0.9599996971967993</v>
      </c>
      <c r="I66" s="6">
        <v>0.10999487442337263</v>
      </c>
      <c r="J66" s="6">
        <v>0.06999960572487482</v>
      </c>
      <c r="K66" s="6">
        <v>0.009998817174624452</v>
      </c>
      <c r="N66" s="1" t="s">
        <v>24</v>
      </c>
    </row>
    <row r="67">
      <c r="A67" s="1" t="s">
        <v>97</v>
      </c>
      <c r="B67" s="1" t="s">
        <v>35</v>
      </c>
      <c r="C67" s="6">
        <v>76242.0</v>
      </c>
      <c r="D67" s="6">
        <v>72429.0</v>
      </c>
      <c r="E67" s="6">
        <v>18107.0</v>
      </c>
      <c r="F67" s="6">
        <v>8691.0</v>
      </c>
      <c r="G67" s="6">
        <v>2172.0</v>
      </c>
      <c r="H67" s="6">
        <v>0.9499881954828048</v>
      </c>
      <c r="I67" s="6">
        <v>0.2499965483438954</v>
      </c>
      <c r="J67" s="6">
        <v>0.11999337282027916</v>
      </c>
      <c r="K67" s="6">
        <v>0.029987988236755997</v>
      </c>
      <c r="N67" s="1" t="s">
        <v>24</v>
      </c>
    </row>
    <row r="68">
      <c r="A68" s="1" t="s">
        <v>98</v>
      </c>
      <c r="B68" s="1" t="s">
        <v>35</v>
      </c>
      <c r="C68" s="6">
        <v>55024.0</v>
      </c>
      <c r="D68" s="6">
        <v>50071.0</v>
      </c>
      <c r="E68" s="6">
        <v>6509.0</v>
      </c>
      <c r="F68" s="6">
        <v>1001.0</v>
      </c>
      <c r="G68" s="6">
        <v>2503.0</v>
      </c>
      <c r="H68" s="6">
        <v>0.9099847339342833</v>
      </c>
      <c r="I68" s="6">
        <v>0.12999540652273772</v>
      </c>
      <c r="J68" s="6">
        <v>0.019991611911086258</v>
      </c>
      <c r="K68" s="6">
        <v>0.04998901559785105</v>
      </c>
      <c r="N68" s="1" t="s">
        <v>24</v>
      </c>
    </row>
    <row r="69">
      <c r="A69" s="1" t="s">
        <v>99</v>
      </c>
      <c r="B69" s="1" t="s">
        <v>41</v>
      </c>
      <c r="C69" s="6">
        <v>155828.0</v>
      </c>
      <c r="D69" s="6">
        <v>149594.0</v>
      </c>
      <c r="E69" s="6">
        <v>56845.0</v>
      </c>
      <c r="F69" s="6">
        <v>7479.0</v>
      </c>
      <c r="G69" s="6">
        <v>1495.0</v>
      </c>
      <c r="H69" s="6">
        <v>0.9599943527479016</v>
      </c>
      <c r="I69" s="6">
        <v>0.37999518697273954</v>
      </c>
      <c r="J69" s="6">
        <v>0.049995320667941226</v>
      </c>
      <c r="K69" s="6">
        <v>0.009993716325521077</v>
      </c>
      <c r="N69" s="1" t="s">
        <v>24</v>
      </c>
    </row>
    <row r="70">
      <c r="A70" s="1" t="s">
        <v>100</v>
      </c>
      <c r="B70" s="1" t="s">
        <v>101</v>
      </c>
      <c r="C70" s="6">
        <v>77352.0</v>
      </c>
      <c r="D70" s="6">
        <v>69616.0</v>
      </c>
      <c r="E70" s="6">
        <v>16011.0</v>
      </c>
      <c r="F70" s="6">
        <v>4176.0</v>
      </c>
      <c r="G70" s="6">
        <v>2088.0</v>
      </c>
      <c r="H70" s="6">
        <v>0.8999896576688385</v>
      </c>
      <c r="I70" s="6">
        <v>0.2299902321305447</v>
      </c>
      <c r="J70" s="6">
        <v>0.05998621006665134</v>
      </c>
      <c r="K70" s="6">
        <v>0.02999310503332567</v>
      </c>
      <c r="N70" s="1" t="s">
        <v>24</v>
      </c>
    </row>
    <row r="71">
      <c r="A71" s="1" t="s">
        <v>102</v>
      </c>
      <c r="B71" s="1" t="s">
        <v>50</v>
      </c>
      <c r="C71" s="6">
        <v>86545.0</v>
      </c>
      <c r="D71" s="6">
        <v>82217.0</v>
      </c>
      <c r="E71" s="6">
        <v>31242.0</v>
      </c>
      <c r="F71" s="6">
        <v>3288.0</v>
      </c>
      <c r="G71" s="6">
        <v>822.0</v>
      </c>
      <c r="H71" s="6">
        <v>0.9499913339880987</v>
      </c>
      <c r="I71" s="6">
        <v>0.3799944050500505</v>
      </c>
      <c r="J71" s="6">
        <v>0.03999172920442244</v>
      </c>
      <c r="K71" s="6">
        <v>0.00999793230110561</v>
      </c>
      <c r="N71" s="1" t="s">
        <v>24</v>
      </c>
    </row>
    <row r="72">
      <c r="A72" s="1" t="s">
        <v>103</v>
      </c>
      <c r="B72" s="1" t="s">
        <v>50</v>
      </c>
      <c r="C72" s="6">
        <v>166519.0</v>
      </c>
      <c r="D72" s="6">
        <v>161523.0</v>
      </c>
      <c r="E72" s="6">
        <v>38765.0</v>
      </c>
      <c r="F72" s="6">
        <v>16152.0</v>
      </c>
      <c r="G72" s="6">
        <v>6460.0</v>
      </c>
      <c r="H72" s="6">
        <v>0.9699974177120929</v>
      </c>
      <c r="I72" s="6">
        <v>0.23999678064424262</v>
      </c>
      <c r="J72" s="6">
        <v>0.09999814267937074</v>
      </c>
      <c r="K72" s="6">
        <v>0.039994304216736935</v>
      </c>
      <c r="N72" s="1" t="s">
        <v>24</v>
      </c>
    </row>
    <row r="73">
      <c r="A73" s="1" t="s">
        <v>104</v>
      </c>
      <c r="B73" s="1" t="s">
        <v>29</v>
      </c>
      <c r="C73" s="6">
        <v>169876.0</v>
      </c>
      <c r="D73" s="6">
        <v>159683.0</v>
      </c>
      <c r="E73" s="6">
        <v>46308.0</v>
      </c>
      <c r="F73" s="6">
        <v>6387.0</v>
      </c>
      <c r="G73" s="6">
        <v>4790.0</v>
      </c>
      <c r="H73" s="6">
        <v>0.9399974098754386</v>
      </c>
      <c r="I73" s="6">
        <v>0.2899995616314824</v>
      </c>
      <c r="J73" s="6">
        <v>0.03999799602963371</v>
      </c>
      <c r="K73" s="6">
        <v>0.02999693142037662</v>
      </c>
      <c r="N73" s="1" t="s">
        <v>24</v>
      </c>
    </row>
    <row r="74">
      <c r="A74" s="1" t="s">
        <v>105</v>
      </c>
      <c r="B74" s="1" t="s">
        <v>31</v>
      </c>
      <c r="C74" s="6">
        <v>107880.0</v>
      </c>
      <c r="D74" s="6">
        <v>103564.0</v>
      </c>
      <c r="E74" s="6">
        <v>24855.0</v>
      </c>
      <c r="F74" s="6">
        <v>14498.0</v>
      </c>
      <c r="G74" s="6">
        <v>1035.0</v>
      </c>
      <c r="H74" s="6">
        <v>0.9599925843529848</v>
      </c>
      <c r="I74" s="6">
        <v>0.23999652388860995</v>
      </c>
      <c r="J74" s="6">
        <v>0.1399907303696265</v>
      </c>
      <c r="K74" s="6">
        <v>0.009993820246417675</v>
      </c>
      <c r="N74" s="1" t="s">
        <v>24</v>
      </c>
    </row>
    <row r="75">
      <c r="A75" s="1" t="s">
        <v>106</v>
      </c>
      <c r="B75" s="1" t="s">
        <v>39</v>
      </c>
      <c r="C75" s="6">
        <v>162292.0</v>
      </c>
      <c r="D75" s="6">
        <v>149308.0</v>
      </c>
      <c r="E75" s="6">
        <v>40313.0</v>
      </c>
      <c r="F75" s="6">
        <v>14930.0</v>
      </c>
      <c r="G75" s="6">
        <v>5972.0</v>
      </c>
      <c r="H75" s="6">
        <v>0.9199960564907698</v>
      </c>
      <c r="I75" s="6">
        <v>0.2699989283896375</v>
      </c>
      <c r="J75" s="6">
        <v>0.09999464194818763</v>
      </c>
      <c r="K75" s="6">
        <v>0.03999785677927505</v>
      </c>
      <c r="N75" s="1" t="s">
        <v>24</v>
      </c>
    </row>
    <row r="76">
      <c r="A76" s="1" t="s">
        <v>107</v>
      </c>
      <c r="B76" s="1" t="s">
        <v>29</v>
      </c>
      <c r="C76" s="6">
        <v>27524.0</v>
      </c>
      <c r="D76" s="6">
        <v>26698.0</v>
      </c>
      <c r="E76" s="6">
        <v>3470.0</v>
      </c>
      <c r="F76" s="6">
        <v>3737.0</v>
      </c>
      <c r="G76" s="6">
        <v>1067.0</v>
      </c>
      <c r="H76" s="6">
        <v>0.9699898270600203</v>
      </c>
      <c r="I76" s="6">
        <v>0.12997228256798263</v>
      </c>
      <c r="J76" s="6">
        <v>0.13997303168776687</v>
      </c>
      <c r="K76" s="6">
        <v>0.03996554048992434</v>
      </c>
      <c r="N76" s="1" t="s">
        <v>24</v>
      </c>
    </row>
    <row r="77">
      <c r="A77" s="1" t="s">
        <v>108</v>
      </c>
      <c r="B77" s="1" t="s">
        <v>29</v>
      </c>
      <c r="C77" s="6">
        <v>106882.0</v>
      </c>
      <c r="D77" s="6">
        <v>105813.0</v>
      </c>
      <c r="E77" s="6">
        <v>11639.0</v>
      </c>
      <c r="F77" s="6">
        <v>6348.0</v>
      </c>
      <c r="G77" s="6">
        <v>4232.0</v>
      </c>
      <c r="H77" s="6">
        <v>0.9899983158997773</v>
      </c>
      <c r="I77" s="6">
        <v>0.10999593622711765</v>
      </c>
      <c r="J77" s="6">
        <v>0.059992628505004114</v>
      </c>
      <c r="K77" s="6">
        <v>0.03999508567000274</v>
      </c>
      <c r="N77" s="1" t="s">
        <v>24</v>
      </c>
    </row>
    <row r="78">
      <c r="A78" s="1" t="s">
        <v>109</v>
      </c>
      <c r="B78" s="1" t="s">
        <v>54</v>
      </c>
      <c r="C78" s="6">
        <v>88804.0</v>
      </c>
      <c r="D78" s="6">
        <v>83475.0</v>
      </c>
      <c r="E78" s="6">
        <v>15025.0</v>
      </c>
      <c r="F78" s="6">
        <v>12521.0</v>
      </c>
      <c r="G78" s="6">
        <v>2504.0</v>
      </c>
      <c r="H78" s="6">
        <v>0.9399914418269447</v>
      </c>
      <c r="I78" s="6">
        <v>0.17999401018268943</v>
      </c>
      <c r="J78" s="6">
        <v>0.14999700509134473</v>
      </c>
      <c r="K78" s="6">
        <v>0.029997005091344713</v>
      </c>
      <c r="N78" s="1" t="s">
        <v>24</v>
      </c>
    </row>
    <row r="79">
      <c r="A79" s="1" t="s">
        <v>110</v>
      </c>
      <c r="B79" s="1" t="s">
        <v>23</v>
      </c>
      <c r="C79" s="6">
        <v>64438.0</v>
      </c>
      <c r="D79" s="6">
        <v>61216.0</v>
      </c>
      <c r="E79" s="6">
        <v>12243.0</v>
      </c>
      <c r="F79" s="6">
        <v>5509.0</v>
      </c>
      <c r="G79" s="6">
        <v>3060.0</v>
      </c>
      <c r="H79" s="6">
        <v>0.9499984481206741</v>
      </c>
      <c r="I79" s="6">
        <v>0.19999673288029274</v>
      </c>
      <c r="J79" s="6">
        <v>0.08999281233664401</v>
      </c>
      <c r="K79" s="6">
        <v>0.04998693152117094</v>
      </c>
      <c r="N79" s="1" t="s">
        <v>24</v>
      </c>
    </row>
    <row r="80">
      <c r="A80" s="1" t="s">
        <v>111</v>
      </c>
      <c r="B80" s="1" t="s">
        <v>35</v>
      </c>
      <c r="C80" s="6">
        <v>53401.0</v>
      </c>
      <c r="D80" s="6">
        <v>49662.0</v>
      </c>
      <c r="E80" s="6">
        <v>16885.0</v>
      </c>
      <c r="F80" s="6">
        <v>1489.0</v>
      </c>
      <c r="G80" s="6">
        <v>496.0</v>
      </c>
      <c r="H80" s="6">
        <v>0.9299825845957941</v>
      </c>
      <c r="I80" s="6">
        <v>0.3399983891103862</v>
      </c>
      <c r="J80" s="6">
        <v>0.029982682936651767</v>
      </c>
      <c r="K80" s="6">
        <v>0.009987515605493134</v>
      </c>
      <c r="N80" s="1" t="s">
        <v>24</v>
      </c>
    </row>
    <row r="81">
      <c r="A81" s="1" t="s">
        <v>112</v>
      </c>
      <c r="B81" s="1" t="s">
        <v>39</v>
      </c>
      <c r="C81" s="6">
        <v>38393.0</v>
      </c>
      <c r="D81" s="6">
        <v>36857.0</v>
      </c>
      <c r="E81" s="6">
        <v>13637.0</v>
      </c>
      <c r="F81" s="6">
        <v>1842.0</v>
      </c>
      <c r="G81" s="6">
        <v>737.0</v>
      </c>
      <c r="H81" s="6">
        <v>0.959992707003881</v>
      </c>
      <c r="I81" s="6">
        <v>0.3699975581300703</v>
      </c>
      <c r="J81" s="6">
        <v>0.04997693789510812</v>
      </c>
      <c r="K81" s="6">
        <v>0.01999620153566487</v>
      </c>
      <c r="N81" s="1" t="s">
        <v>24</v>
      </c>
    </row>
    <row r="82">
      <c r="A82" s="1" t="s">
        <v>113</v>
      </c>
      <c r="B82" s="1" t="s">
        <v>23</v>
      </c>
      <c r="C82" s="6">
        <v>23869.0</v>
      </c>
      <c r="D82" s="6">
        <v>22675.0</v>
      </c>
      <c r="E82" s="6">
        <v>5668.0</v>
      </c>
      <c r="F82" s="6">
        <v>1814.0</v>
      </c>
      <c r="G82" s="6">
        <v>907.0</v>
      </c>
      <c r="H82" s="6">
        <v>0.9499769575600151</v>
      </c>
      <c r="I82" s="6">
        <v>0.24996692392502756</v>
      </c>
      <c r="J82" s="6">
        <v>0.08</v>
      </c>
      <c r="K82" s="6">
        <v>0.04</v>
      </c>
      <c r="N82" s="1" t="s">
        <v>24</v>
      </c>
    </row>
    <row r="83">
      <c r="A83" s="1" t="s">
        <v>114</v>
      </c>
      <c r="B83" s="1" t="s">
        <v>41</v>
      </c>
      <c r="C83" s="6">
        <v>160138.0</v>
      </c>
      <c r="D83" s="6">
        <v>144124.0</v>
      </c>
      <c r="E83" s="6">
        <v>24501.0</v>
      </c>
      <c r="F83" s="6">
        <v>17294.0</v>
      </c>
      <c r="G83" s="6">
        <v>1441.0</v>
      </c>
      <c r="H83" s="6">
        <v>0.899998751077196</v>
      </c>
      <c r="I83" s="6">
        <v>0.1699994449224279</v>
      </c>
      <c r="J83" s="6">
        <v>0.119993894146707</v>
      </c>
      <c r="K83" s="6">
        <v>0.009998334767283727</v>
      </c>
      <c r="N83" s="1" t="s">
        <v>24</v>
      </c>
    </row>
    <row r="84">
      <c r="A84" s="1" t="s">
        <v>115</v>
      </c>
      <c r="B84" s="1" t="s">
        <v>50</v>
      </c>
      <c r="C84" s="6">
        <v>29736.0</v>
      </c>
      <c r="D84" s="6">
        <v>28843.0</v>
      </c>
      <c r="E84" s="6">
        <v>6057.0</v>
      </c>
      <c r="F84" s="6">
        <v>1442.0</v>
      </c>
      <c r="G84" s="6">
        <v>288.0</v>
      </c>
      <c r="H84" s="6">
        <v>0.969969061070756</v>
      </c>
      <c r="I84" s="6">
        <v>0.2099989598862809</v>
      </c>
      <c r="J84" s="6">
        <v>0.0499947994314045</v>
      </c>
      <c r="K84" s="6">
        <v>0.009985091703359567</v>
      </c>
      <c r="N84" s="1" t="s">
        <v>24</v>
      </c>
    </row>
    <row r="85">
      <c r="A85" s="1" t="s">
        <v>116</v>
      </c>
      <c r="B85" s="1" t="s">
        <v>101</v>
      </c>
      <c r="C85" s="6">
        <v>72925.0</v>
      </c>
      <c r="D85" s="6">
        <v>70008.0</v>
      </c>
      <c r="E85" s="6">
        <v>9801.0</v>
      </c>
      <c r="F85" s="6">
        <v>4900.0</v>
      </c>
      <c r="G85" s="6">
        <v>700.0</v>
      </c>
      <c r="H85" s="6">
        <v>0.96</v>
      </c>
      <c r="I85" s="6">
        <v>0.13999828591018168</v>
      </c>
      <c r="J85" s="6">
        <v>0.06999200091418124</v>
      </c>
      <c r="K85" s="6">
        <v>0.009998857273454462</v>
      </c>
      <c r="N85" s="1" t="s">
        <v>24</v>
      </c>
    </row>
    <row r="86">
      <c r="A86" s="1" t="s">
        <v>117</v>
      </c>
      <c r="B86" s="1" t="s">
        <v>101</v>
      </c>
      <c r="C86" s="6">
        <v>142129.0</v>
      </c>
      <c r="D86" s="6">
        <v>127916.0</v>
      </c>
      <c r="E86" s="6">
        <v>48608.0</v>
      </c>
      <c r="F86" s="6">
        <v>19187.0</v>
      </c>
      <c r="G86" s="6">
        <v>5116.0</v>
      </c>
      <c r="H86" s="6">
        <v>0.8999992964138213</v>
      </c>
      <c r="I86" s="6">
        <v>0.3799993745895744</v>
      </c>
      <c r="J86" s="6">
        <v>0.14999687294787203</v>
      </c>
      <c r="K86" s="6">
        <v>0.03999499671659527</v>
      </c>
      <c r="N86" s="1" t="s">
        <v>24</v>
      </c>
    </row>
    <row r="87">
      <c r="A87" s="1" t="s">
        <v>118</v>
      </c>
      <c r="B87" s="1" t="s">
        <v>29</v>
      </c>
      <c r="C87" s="6">
        <v>149764.0</v>
      </c>
      <c r="D87" s="6">
        <v>142275.0</v>
      </c>
      <c r="E87" s="6">
        <v>24186.0</v>
      </c>
      <c r="F87" s="6">
        <v>9959.0</v>
      </c>
      <c r="G87" s="6">
        <v>1422.0</v>
      </c>
      <c r="H87" s="6">
        <v>0.9499946582623328</v>
      </c>
      <c r="I87" s="6">
        <v>0.16999472851871375</v>
      </c>
      <c r="J87" s="6">
        <v>0.06999824283957125</v>
      </c>
      <c r="K87" s="6">
        <v>0.009994728518713759</v>
      </c>
      <c r="N87" s="1" t="s">
        <v>24</v>
      </c>
    </row>
    <row r="88">
      <c r="A88" s="1" t="s">
        <v>119</v>
      </c>
      <c r="B88" s="1" t="s">
        <v>29</v>
      </c>
      <c r="C88" s="6">
        <v>125711.0</v>
      </c>
      <c r="D88" s="6">
        <v>123196.0</v>
      </c>
      <c r="E88" s="6">
        <v>48046.0</v>
      </c>
      <c r="F88" s="6">
        <v>8623.0</v>
      </c>
      <c r="G88" s="6">
        <v>6159.0</v>
      </c>
      <c r="H88" s="6">
        <v>0.979993795292377</v>
      </c>
      <c r="I88" s="6">
        <v>0.38999642845546934</v>
      </c>
      <c r="J88" s="6">
        <v>0.06999415565440437</v>
      </c>
      <c r="K88" s="6">
        <v>0.04999350628267152</v>
      </c>
      <c r="N88" s="1" t="s">
        <v>24</v>
      </c>
    </row>
    <row r="89">
      <c r="A89" s="1" t="s">
        <v>120</v>
      </c>
      <c r="B89" s="1" t="s">
        <v>29</v>
      </c>
      <c r="C89" s="6">
        <v>136739.0</v>
      </c>
      <c r="D89" s="6">
        <v>124432.0</v>
      </c>
      <c r="E89" s="6">
        <v>27375.0</v>
      </c>
      <c r="F89" s="6">
        <v>6221.0</v>
      </c>
      <c r="G89" s="6">
        <v>6221.0</v>
      </c>
      <c r="H89" s="6">
        <v>0.909996416530763</v>
      </c>
      <c r="I89" s="6">
        <v>0.2199996785392825</v>
      </c>
      <c r="J89" s="6">
        <v>0.049995178089237494</v>
      </c>
      <c r="K89" s="6">
        <v>0.049995178089237494</v>
      </c>
      <c r="N89" s="1" t="s">
        <v>24</v>
      </c>
    </row>
    <row r="90">
      <c r="A90" s="1" t="s">
        <v>121</v>
      </c>
      <c r="B90" s="1" t="s">
        <v>26</v>
      </c>
      <c r="C90" s="6">
        <v>60561.0</v>
      </c>
      <c r="D90" s="6">
        <v>58138.0</v>
      </c>
      <c r="E90" s="6">
        <v>18022.0</v>
      </c>
      <c r="F90" s="6">
        <v>3488.0</v>
      </c>
      <c r="G90" s="6">
        <v>1744.0</v>
      </c>
      <c r="H90" s="6">
        <v>0.9599907531249484</v>
      </c>
      <c r="I90" s="6">
        <v>0.3099865836458082</v>
      </c>
      <c r="J90" s="6">
        <v>0.05999518387285424</v>
      </c>
      <c r="K90" s="6">
        <v>0.02999759193642712</v>
      </c>
      <c r="N90" s="1" t="s">
        <v>24</v>
      </c>
    </row>
    <row r="91">
      <c r="A91" s="1" t="s">
        <v>122</v>
      </c>
      <c r="B91" s="1" t="s">
        <v>26</v>
      </c>
      <c r="C91" s="6">
        <v>75437.0</v>
      </c>
      <c r="D91" s="6">
        <v>67893.0</v>
      </c>
      <c r="E91" s="6">
        <v>18331.0</v>
      </c>
      <c r="F91" s="6">
        <v>1357.0</v>
      </c>
      <c r="G91" s="6">
        <v>3394.0</v>
      </c>
      <c r="H91" s="6">
        <v>0.8999960231716532</v>
      </c>
      <c r="I91" s="6">
        <v>0.2699983798035144</v>
      </c>
      <c r="J91" s="6">
        <v>0.019987333009294037</v>
      </c>
      <c r="K91" s="6">
        <v>0.04999042611167572</v>
      </c>
      <c r="N91" s="1" t="s">
        <v>24</v>
      </c>
    </row>
    <row r="92">
      <c r="A92" s="1" t="s">
        <v>123</v>
      </c>
      <c r="B92" s="1" t="s">
        <v>26</v>
      </c>
      <c r="C92" s="6">
        <v>66261.0</v>
      </c>
      <c r="D92" s="6">
        <v>62947.0</v>
      </c>
      <c r="E92" s="6">
        <v>8812.0</v>
      </c>
      <c r="F92" s="6">
        <v>3776.0</v>
      </c>
      <c r="G92" s="6">
        <v>3147.0</v>
      </c>
      <c r="H92" s="6">
        <v>0.9499856627578817</v>
      </c>
      <c r="I92" s="6">
        <v>0.13999078589924857</v>
      </c>
      <c r="J92" s="6">
        <v>0.059986973167903156</v>
      </c>
      <c r="K92" s="6">
        <v>0.04999443976678793</v>
      </c>
      <c r="N92" s="1" t="s">
        <v>24</v>
      </c>
    </row>
    <row r="93">
      <c r="A93" s="1" t="s">
        <v>124</v>
      </c>
      <c r="B93" s="1" t="s">
        <v>26</v>
      </c>
      <c r="C93" s="6">
        <v>8885.0</v>
      </c>
      <c r="D93" s="6">
        <v>8263.0</v>
      </c>
      <c r="E93" s="6">
        <v>1156.0</v>
      </c>
      <c r="F93" s="6">
        <v>743.0</v>
      </c>
      <c r="G93" s="6">
        <v>82.0</v>
      </c>
      <c r="H93" s="6">
        <v>0.9299943725379853</v>
      </c>
      <c r="I93" s="6">
        <v>0.13990076243495098</v>
      </c>
      <c r="J93" s="6">
        <v>0.08991891564806971</v>
      </c>
      <c r="K93" s="6">
        <v>0.009923756504901368</v>
      </c>
      <c r="N93" s="1" t="s">
        <v>24</v>
      </c>
    </row>
    <row r="94">
      <c r="A94" s="1" t="s">
        <v>125</v>
      </c>
      <c r="B94" s="1" t="s">
        <v>35</v>
      </c>
      <c r="C94" s="6">
        <v>40064.0</v>
      </c>
      <c r="D94" s="6">
        <v>37259.0</v>
      </c>
      <c r="E94" s="6">
        <v>14158.0</v>
      </c>
      <c r="F94" s="6">
        <v>4843.0</v>
      </c>
      <c r="G94" s="6">
        <v>745.0</v>
      </c>
      <c r="H94" s="6">
        <v>0.9299870207667732</v>
      </c>
      <c r="I94" s="6">
        <v>0.37998872755575835</v>
      </c>
      <c r="J94" s="6">
        <v>0.12998201776751925</v>
      </c>
      <c r="K94" s="6">
        <v>0.01999516895246786</v>
      </c>
      <c r="N94" s="1" t="s">
        <v>24</v>
      </c>
    </row>
    <row r="95">
      <c r="A95" s="1" t="s">
        <v>126</v>
      </c>
      <c r="B95" s="1" t="s">
        <v>29</v>
      </c>
      <c r="C95" s="6">
        <v>68370.0</v>
      </c>
      <c r="D95" s="6">
        <v>63584.0</v>
      </c>
      <c r="E95" s="6">
        <v>8901.0</v>
      </c>
      <c r="F95" s="6">
        <v>8901.0</v>
      </c>
      <c r="G95" s="6">
        <v>3179.0</v>
      </c>
      <c r="H95" s="6">
        <v>0.9299985373701916</v>
      </c>
      <c r="I95" s="6">
        <v>0.13998804730749875</v>
      </c>
      <c r="J95" s="6">
        <v>0.13998804730749875</v>
      </c>
      <c r="K95" s="6">
        <v>0.04999685455460493</v>
      </c>
      <c r="N95" s="1" t="s">
        <v>24</v>
      </c>
    </row>
    <row r="96">
      <c r="A96" s="1" t="s">
        <v>127</v>
      </c>
      <c r="B96" s="1" t="s">
        <v>23</v>
      </c>
      <c r="C96" s="6">
        <v>94142.0</v>
      </c>
      <c r="D96" s="6">
        <v>85669.0</v>
      </c>
      <c r="E96" s="6">
        <v>20560.0</v>
      </c>
      <c r="F96" s="6">
        <v>5140.0</v>
      </c>
      <c r="G96" s="6">
        <v>2570.0</v>
      </c>
      <c r="H96" s="6">
        <v>0.9099976631046717</v>
      </c>
      <c r="I96" s="6">
        <v>0.23999346321306422</v>
      </c>
      <c r="J96" s="6">
        <v>0.059998365803266056</v>
      </c>
      <c r="K96" s="6">
        <v>0.029999182901633028</v>
      </c>
      <c r="N96" s="1" t="s">
        <v>24</v>
      </c>
    </row>
    <row r="97">
      <c r="A97" s="1" t="s">
        <v>128</v>
      </c>
      <c r="B97" s="1" t="s">
        <v>31</v>
      </c>
      <c r="C97" s="6">
        <v>154851.0</v>
      </c>
      <c r="D97" s="6">
        <v>151753.0</v>
      </c>
      <c r="E97" s="6">
        <v>24280.0</v>
      </c>
      <c r="F97" s="6">
        <v>19727.0</v>
      </c>
      <c r="G97" s="6">
        <v>4552.0</v>
      </c>
      <c r="H97" s="6">
        <v>0.9799936713356711</v>
      </c>
      <c r="I97" s="6">
        <v>0.15999683696533182</v>
      </c>
      <c r="J97" s="6">
        <v>0.12999413520655276</v>
      </c>
      <c r="K97" s="6">
        <v>0.029996112103220365</v>
      </c>
      <c r="N97" s="1" t="s">
        <v>24</v>
      </c>
    </row>
    <row r="98">
      <c r="A98" s="1" t="s">
        <v>129</v>
      </c>
      <c r="B98" s="1" t="s">
        <v>23</v>
      </c>
      <c r="C98" s="6">
        <v>62811.0</v>
      </c>
      <c r="D98" s="6">
        <v>59042.0</v>
      </c>
      <c r="E98" s="6">
        <v>18303.0</v>
      </c>
      <c r="F98" s="6">
        <v>5313.0</v>
      </c>
      <c r="G98" s="6">
        <v>1180.0</v>
      </c>
      <c r="H98" s="6">
        <v>0.9399945869354094</v>
      </c>
      <c r="I98" s="6">
        <v>0.3099996612580875</v>
      </c>
      <c r="J98" s="6">
        <v>0.08998678906541106</v>
      </c>
      <c r="K98" s="6">
        <v>0.01998577283967345</v>
      </c>
      <c r="N98" s="1" t="s">
        <v>24</v>
      </c>
    </row>
    <row r="99">
      <c r="A99" s="1" t="s">
        <v>130</v>
      </c>
      <c r="B99" s="1" t="s">
        <v>26</v>
      </c>
      <c r="C99" s="6">
        <v>33639.0</v>
      </c>
      <c r="D99" s="6">
        <v>30611.0</v>
      </c>
      <c r="E99" s="6">
        <v>8877.0</v>
      </c>
      <c r="F99" s="6">
        <v>3979.0</v>
      </c>
      <c r="G99" s="6">
        <v>918.0</v>
      </c>
      <c r="H99" s="6">
        <v>0.9099854335741253</v>
      </c>
      <c r="I99" s="6">
        <v>0.2899937930809186</v>
      </c>
      <c r="J99" s="6">
        <v>0.129985952762079</v>
      </c>
      <c r="K99" s="6">
        <v>0.029989219561595504</v>
      </c>
      <c r="N99" s="1" t="s">
        <v>24</v>
      </c>
    </row>
    <row r="100">
      <c r="A100" s="1" t="s">
        <v>131</v>
      </c>
      <c r="B100" s="1" t="s">
        <v>50</v>
      </c>
      <c r="C100" s="6">
        <v>45510.0</v>
      </c>
      <c r="D100" s="6">
        <v>44599.0</v>
      </c>
      <c r="E100" s="6">
        <v>13825.0</v>
      </c>
      <c r="F100" s="6">
        <v>891.0</v>
      </c>
      <c r="G100" s="6">
        <v>891.0</v>
      </c>
      <c r="H100" s="6">
        <v>0.979982421445836</v>
      </c>
      <c r="I100" s="6">
        <v>0.3099845288010942</v>
      </c>
      <c r="J100" s="6">
        <v>0.019978026413148275</v>
      </c>
      <c r="K100" s="6">
        <v>0.019978026413148275</v>
      </c>
      <c r="N100" s="1" t="s">
        <v>24</v>
      </c>
    </row>
  </sheetData>
  <drawing r:id="rId1"/>
</worksheet>
</file>